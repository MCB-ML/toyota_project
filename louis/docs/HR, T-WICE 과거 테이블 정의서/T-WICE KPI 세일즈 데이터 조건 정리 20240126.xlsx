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mkro365.sharepoint.com/sites/T-WICEProject/Shared Documents/General/KPI Sales Data 20240126/"/>
    </mc:Choice>
  </mc:AlternateContent>
  <xr:revisionPtr revIDLastSave="17" documentId="8_{0826BF0B-D919-406E-BB8A-7522D136FF86}" xr6:coauthVersionLast="47" xr6:coauthVersionMax="47" xr10:uidLastSave="{DD248194-0778-4E9D-A0C6-70CA69BBC45B}"/>
  <bookViews>
    <workbookView xWindow="-120" yWindow="-120" windowWidth="38640" windowHeight="21120" xr2:uid="{95A19DAD-B2E7-4FBC-BCAA-43EE16BEFAF5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3" l="1"/>
  <c r="L47" i="3"/>
  <c r="L68" i="3"/>
  <c r="K68" i="3"/>
  <c r="L43" i="3"/>
  <c r="K43" i="3"/>
  <c r="L42" i="3"/>
  <c r="L41" i="3"/>
  <c r="L40" i="3"/>
  <c r="K42" i="3"/>
  <c r="K41" i="3"/>
  <c r="K40" i="3"/>
  <c r="L48" i="3"/>
  <c r="L46" i="3"/>
  <c r="L45" i="3"/>
  <c r="K48" i="3"/>
  <c r="K46" i="3"/>
  <c r="K45" i="3"/>
  <c r="L38" i="3"/>
  <c r="K38" i="3"/>
  <c r="L37" i="3"/>
  <c r="L36" i="3"/>
  <c r="L35" i="3"/>
  <c r="K37" i="3"/>
  <c r="K36" i="3"/>
  <c r="K35" i="3"/>
  <c r="L33" i="3"/>
  <c r="K33" i="3"/>
  <c r="L32" i="3"/>
  <c r="L31" i="3"/>
  <c r="L30" i="3"/>
  <c r="K32" i="3"/>
  <c r="K31" i="3"/>
  <c r="K30" i="3"/>
  <c r="L69" i="3"/>
  <c r="L52" i="3"/>
  <c r="L60" i="3"/>
  <c r="K60" i="3"/>
  <c r="L27" i="3"/>
  <c r="K27" i="3"/>
  <c r="L28" i="3"/>
  <c r="L29" i="3"/>
  <c r="K29" i="3"/>
  <c r="L64" i="3"/>
  <c r="L67" i="3"/>
  <c r="K67" i="3"/>
  <c r="L66" i="3"/>
  <c r="K66" i="3"/>
  <c r="K64" i="3"/>
  <c r="K28" i="3" l="1"/>
  <c r="L26" i="3"/>
  <c r="K26" i="3"/>
  <c r="K69" i="3"/>
  <c r="L65" i="3"/>
  <c r="K65" i="3"/>
  <c r="L25" i="3"/>
  <c r="K25" i="3"/>
  <c r="L23" i="3"/>
  <c r="K23" i="3"/>
  <c r="L16" i="3"/>
  <c r="K16" i="3"/>
  <c r="L10" i="3"/>
  <c r="K10" i="3"/>
  <c r="L14" i="3"/>
  <c r="K14" i="3"/>
  <c r="K12" i="3"/>
  <c r="L12" i="3"/>
  <c r="L15" i="3"/>
  <c r="K15" i="3"/>
  <c r="L13" i="3"/>
  <c r="K13" i="3"/>
  <c r="L73" i="3"/>
  <c r="K73" i="3"/>
  <c r="L72" i="3"/>
  <c r="K72" i="3"/>
  <c r="L71" i="3"/>
  <c r="K71" i="3"/>
  <c r="L70" i="3"/>
  <c r="K70" i="3"/>
  <c r="L56" i="3"/>
  <c r="K56" i="3"/>
  <c r="L54" i="3"/>
  <c r="K54" i="3"/>
  <c r="K5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SE-HSJANG</author>
    <author>SE-KMKANG</author>
  </authors>
  <commentList>
    <comment ref="M4" authorId="0" shapeId="0" xr:uid="{02CC6629-314E-4457-BE77-C2EC47724894}">
      <text>
        <r>
          <rPr>
            <b/>
            <sz val="9"/>
            <color indexed="81"/>
            <rFont val="Tahoma"/>
            <family val="2"/>
          </rPr>
          <t>SELECT SUM(NVL(A.SALES_TARGET_QTY,0)) AS SALES_TARGET_QTY
FROM VT_MONTHLY_TARGET A
    , (SELECT *
       FROM(SELECT  REPORT_VARIANT_NM
                , MON_TARGET_CD
                ,ROW_NUMBER() OVER(PARTITION BY MON_TARGET_CD ORDER BY DISPLAY_ORDER) AS RN
                ,SALES_YN
                ,DAILY_REPORT_YN
            FROM VS_VARIANT A
            WHERE 1=1
       )
       WHERE RN = 1
    ) B
    , CO_GROUP CG
    , VS_VARIANT V
WHERE 1=1
AND A.MON_TARGET_CD = B.MON_TARGET_CD
AND B.MON_TARGET_CD = V.MON_TARGET_CD
AND A.DEALER_ID = CG.GROUP_ID
AND CG.HOLDING_ID = 'DT00000'
AND A.TARGET_YM = '202301'
AND V.MODEL_CD = 'ES'</t>
        </r>
      </text>
    </comment>
    <comment ref="O4" authorId="0" shapeId="0" xr:uid="{726EA3B3-7662-491A-B6F6-EB892A96F8F4}">
      <text>
        <r>
          <rPr>
            <b/>
            <sz val="9"/>
            <color indexed="81"/>
            <rFont val="Tahoma"/>
            <family val="2"/>
          </rPr>
          <t>select SUM(SA_KPI_CODE_AMT)
from dms_sales_kpi_resource_day a
    , dms_co_variant_yyyymm_v b
where 1=1
AND a.dms_brand_cd = b.dms_brand_cd
AND substring(a.yyyymmdd, 1, 6) = yyyymm
AND a.report_variant_cd = b.report_variant_cd
and a.dms_brand_cd = 'L'
and dealer_id = 'DT00000'
and a.yyyymmdd like '202301%'
and a.sa_kpi_code_type = 'DMS_BI_SA003'
and a.sa_kpi_code = 'RETAIL_SALES'
and b.model_cd = 'ES'</t>
        </r>
      </text>
    </comment>
    <comment ref="M5" authorId="0" shapeId="0" xr:uid="{2A932720-D5AC-454E-85E4-79D3D7FFACEE}">
      <text>
        <r>
          <rPr>
            <b/>
            <sz val="9"/>
            <color indexed="81"/>
            <rFont val="Tahoma"/>
            <family val="2"/>
          </rPr>
          <t>SELECT SUM(CASE WHEN A.RS_CO_TYPE = 'RS'
                THEN A.CNT
                ELSE 0
           END) AS CO_CNT
FROM (SELECT RS_CO_TYPE
          , BRAND_CD
          , MODEL_CD
          , VARIANT_CD
          , '202301' || SUBSTR(TARGET_DT,-2) AS TARGET_DT
          , CNT       
      FROM (SELECT A.*
            FROM VT_DAILY_SALES_TREND A
                ,(SELECT GROUP_ID, HOLDING_ID FROM CO_GROUP WHERE GROUP_TYPE='S') C
            WHERE 1=1
            AND A.EOD_MONTH = '2023-01'
            AND A.DEALER_ID = C.GROUP_ID(+)
            AND A.DEALER_ID = 'DT00000'
            AND A.DEALER_ID &lt;&gt; '00000'
      )
      UNPIVOT (CNT FOR TARGET_DT IN (
          "TARGET_01","TARGET_02","TARGET_03","TARGET_04","TARGET_05",
          "TARGET_06","TARGET_07","TARGET_08","TARGET_09","TARGET_10",
          "TARGET_11","TARGET_12","TARGET_13","TARGET_14","TARGET_15",
          "TARGET_16","TARGET_17","TARGET_18","TARGET_19","TARGET_20",
          "TARGET_21","TARGET_22","TARGET_23","TARGET_24","TARGET_25",
          "TARGET_26","TARGET_27","TARGET_28","TARGET_29","TARGET_30",
          "TARGET_31"))
    ) A
    ,(SELECT *
      FROM (SELECT A.BRAND_CD
                , A.MODEL_CD
                , REPORT_VARIANT_NM
                , DAILY_REPORT_VARIANT_CD
                , ROW_NUMBER() OVER(PARTITION BY DAILY_REPORT_VARIANT_CD ORDER BY DISPLAY_ORDER) AS RN
            FROM VS_VARIANT A
            WHERE 1=1
            AND MODEL_CD = 'ES')
      WHERE RN = 1) B
WHERE 1=1
AND A.BRAND_CD = B.BRAND_CD
AND A.MODEL_CD = B.MODEL_CD
AND A.VARIANT_CD = B.DAILY_REPORT_VARIANT_CD
AND A.TARGET_DT = '20230115'</t>
        </r>
      </text>
    </comment>
    <comment ref="O5" authorId="0" shapeId="0" xr:uid="{13B424D3-5F51-485D-8036-D6FAF11AAE11}">
      <text>
        <r>
          <rPr>
            <b/>
            <sz val="9"/>
            <color indexed="81"/>
            <rFont val="Tahoma"/>
            <family val="2"/>
          </rPr>
          <t>select SUM(SA_KPI_CODE_AMT)
from dms_sales_kpi_resource_day a
    , dms_co_variant_yyyymm_v b
where 1=1
AND a.dms_brand_cd = b.dms_brand_cd
AND substring(a.yyyymmdd, 1, 6) = yyyymm
AND a.report_variant_cd = b.report_variant_cd
and a.dms_brand_cd = 'L'
and dealer_id = 'DT00000'
and yyyymmdd between '20230101' and '20230115'
and a.sa_kpi_code_type = 'DMS_BI_SA003'
and a.sa_kpi_code = 'RETAIL_SALES'
and b.model_cd = 'ES'</t>
        </r>
      </text>
    </comment>
    <comment ref="M6" authorId="0" shapeId="0" xr:uid="{CCD4401F-AFD0-4B2F-8761-DF821FDD9D7A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TO_DATE('20230115', 'YYYY-MM-DD'))
AND  SUBSTR(LAST_RETAIL_SALES_DT, 0, 10) BETWEEN TO_CHAR(TO_DATE('20230101', 'YYYYMMDD'), 'YYYY-MM-DD HH24:MI:SS') 
AND  TO_CHAR(TO_DATE('20230115', 'YYYYMMDD'), 'YYYY-MM-DD HH24:MI:SS')
AND  CG.HOLDING_ID = 'DT00000' 
AND  B.PROGRESS_ST='S0'
AND C.MODEL_CD = 'ES'</t>
        </r>
      </text>
    </comment>
    <comment ref="O6" authorId="0" shapeId="0" xr:uid="{C91EABA8-20CD-4950-AFFD-4B35243EDA1A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TO_DATE('2023-01-01', 'YYYY-MM-DD') and TO_DATE('2023-01-15', 'YYYY-MM-DD')
and (cancel_dt is null or cancel_dt &gt; '2023-01-15')
and model_cd = 'ES'</t>
        </r>
      </text>
    </comment>
    <comment ref="M7" authorId="0" shapeId="0" xr:uid="{597209E7-A664-4880-98F7-3ADDCC1AA55C}">
      <text>
        <r>
          <rPr>
            <b/>
            <sz val="9"/>
            <color indexed="81"/>
            <rFont val="Tahoma"/>
            <family val="2"/>
          </rPr>
          <t>SELECT ROUND((SUM(NVL(A.SALES_TARGET_QTY,0)) * Z.CO_KPI_CODE_AMT) / 100, 0)
FROM VT_MONTHLY_TARGET A
    , (SELECT *
       FROM(SELECT  REPORT_VARIANT_NM
                , MON_TARGET_CD
                ,ROW_NUMBER() OVER(PARTITION BY MON_TARGET_CD ORDER BY DISPLAY_ORDER) AS RN
                ,SALES_YN
                ,DAILY_REPORT_YN
            FROM VS_VARIANT A
            WHERE 1=1
       )
       WHERE RN = 1
    ) B
    , CO_GROUP CG
    , VS_VARIANT V
    , (SELECT SUM(CO_KPI_CODE_AMT) AS CO_KPI_CODE_AMT
       FROM DMS_BI.DMS_CO_KPI_RESOURCE Z
       WHERE 1=1
       AND Z.YYYYMMDD BETWEEN '20230101' AND '20230115'
       AND Z.CO_KPI_CODE = 'RETAIL_SALES_RATIO'
       AND Z.DMS_BRAND_CD = 'L') Z
WHERE 1=1
AND A.MON_TARGET_CD = B.MON_TARGET_CD
AND B.MON_TARGET_CD = V.MON_TARGET_CD
AND A.DEALER_ID = CG.GROUP_ID
AND CG.HOLDING_ID = 'DT00000'
AND A.TARGET_YM = '202301'
AND V.MODEL_CD = 'ES'
GROUP BY Z.CO_KPI_CODE_AMT</t>
        </r>
      </text>
    </comment>
    <comment ref="O7" authorId="0" shapeId="0" xr:uid="{C6EBFCBE-FE02-4406-89A6-BEA7B023EEB6}">
      <text>
        <r>
          <rPr>
            <b/>
            <sz val="9"/>
            <color indexed="81"/>
            <rFont val="Tahoma"/>
            <family val="2"/>
          </rPr>
          <t>select round((SUM(SA_KPI_CODE_AMT) * co_kpi_code_amt) / 100, 0) as val
from dms_sales_kpi_resource_day a
    , dms_co_variant_yyyymm_v b
    , (select sum(co_kpi_code_amt::numeric) as co_kpi_code_amt
       from dms_co_kpi_resource z
       where 1=1
       and z.yyyymmdd between '20230101' and '20230115'
       and z.co_kpi_code = 'RETAIL_SALES_RATIO'
       and dms_brand_cd = 'L') z
where 1=1
AND a.dms_brand_cd = b.dms_brand_cd
AND substring(a.yyyymmdd, 1, 6) = yyyymm
AND a.report_variant_cd = b.report_variant_cd
and a.dms_brand_cd = 'L'
and a.dealer_id = 'DT00000'
and a.yyyymmdd like '202301%'
and a.sa_kpi_code_type = 'DMS_BI_SA003'
and a.sa_kpi_code = 'RETAIL_SALES'
and b.model_cd = 'ES'
group by co_kpi_code_amt</t>
        </r>
      </text>
    </comment>
    <comment ref="M8" authorId="0" shapeId="0" xr:uid="{6CFE5538-8C38-4DAC-A024-934A2257C3AE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TO_DATE('20230131', 'YYYY-MM-DD'))
AND  SUBSTR(LAST_RETAIL_SALES_DT, 0, 10) BETWEEN TO_CHAR(TO_DATE('20230101', 'YYYYMMDD'), 'YYYY-MM-DD HH24:MI:SS') 
AND  TO_CHAR(TO_DATE('20230131', 'YYYYMMDD'), 'YYYY-MM-DD HH24:MI:SS')
AND  CG.HOLDING_ID = 'DT00000' 
AND  B.PROGRESS_ST='S0'
AND C.MODEL_CD = 'ES'</t>
        </r>
      </text>
    </comment>
    <comment ref="O8" authorId="0" shapeId="0" xr:uid="{11F46A80-0418-4DA0-B064-C2AF94EB34BD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TO_DATE('2023-01-01', 'YYYY-MM-DD') and TO_DATE('2023-01-31', 'YYYY-MM-DD')
and (cancel_dt is null or cancel_dt &gt; '2023-01-31')
and model_cd = 'ES'</t>
        </r>
      </text>
    </comment>
    <comment ref="M9" authorId="0" shapeId="0" xr:uid="{D0785D81-6BD8-4D6E-A61C-9B7ECF7F030D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TO_DATE('20221231', 'YYYY-MM-DD'))
AND  SUBSTR(LAST_RETAIL_SALES_DT, 0, 10) BETWEEN TO_CHAR(TO_DATE('20221201', 'YYYYMMDD'), 'YYYY-MM-DD HH24:MI:SS') 
AND  TO_CHAR(TO_DATE('20221231', 'YYYYMMDD'), 'YYYY-MM-DD HH24:MI:SS')
AND  CG.HOLDING_ID = 'DT00000' 
AND  B.PROGRESS_ST='S0'
AND C.MODEL_CD = 'ES'</t>
        </r>
      </text>
    </comment>
    <comment ref="O9" authorId="0" shapeId="0" xr:uid="{D828E782-EEE0-4A82-8F8F-6E4926328E0A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TO_DATE('2022-12-01', 'YYYY-MM-DD') and TO_DATE('2022-12-31', 'YYYY-MM-DD')
and (cancel_dt is null or cancel_dt &gt; '2022-12-31')
and model_cd = 'ES'</t>
        </r>
      </text>
    </comment>
    <comment ref="M10" authorId="0" shapeId="0" xr:uid="{E5E18501-B914-4DA1-A566-523BC85D50D5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TO_DATE('20230131', 'YYYY-MM-DD'))
AND  SUBSTR(LAST_RETAIL_SALES_DT, 0, 10) BETWEEN TO_CHAR(TO_DATE('20230101', 'YYYYMMDD'), 'YYYY-MM-DD HH24:MI:SS') 
AND  TO_CHAR(TO_DATE('20230131', 'YYYYMMDD'), 'YYYY-MM-DD HH24:MI:SS')
AND  CG.HOLDING_ID = 'DT00000' 
AND  B.PROGRESS_ST='S0'
AND C.MODEL_CD = 'ES'</t>
        </r>
      </text>
    </comment>
    <comment ref="N10" authorId="0" shapeId="0" xr:uid="{6701034E-9F19-464A-9514-CE2DADEC069E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TO_DATE('20221231', 'YYYY-MM-DD'))
AND  SUBSTR(LAST_RETAIL_SALES_DT, 0, 10) BETWEEN TO_CHAR(TO_DATE('20221201', 'YYYYMMDD'), 'YYYY-MM-DD HH24:MI:SS') 
AND  TO_CHAR(TO_DATE('20221231', 'YYYYMMDD'), 'YYYY-MM-DD HH24:MI:SS')
AND  CG.HOLDING_ID = 'DT00000' 
AND  B.PROGRESS_ST='S0'
AND C.MODEL_CD = 'ES'</t>
        </r>
      </text>
    </comment>
    <comment ref="O10" authorId="0" shapeId="0" xr:uid="{DE7D7A26-87C5-40AE-9DE3-2F45D259C452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TO_DATE('2023-01-01', 'YYYY-MM-DD') and TO_DATE('2023-01-31', 'YYYY-MM-DD')
and (cancel_dt is null or cancel_dt &gt; '2023-01-31')
and model_cd = 'ES'</t>
        </r>
      </text>
    </comment>
    <comment ref="P10" authorId="0" shapeId="0" xr:uid="{146ADCD9-75FE-41F9-9C65-E5ADB1D2C759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TO_DATE('2022-12-01', 'YYYY-MM-DD') and TO_DATE('2022-12-31', 'YYYY-MM-DD')
and (cancel_dt is null or cancel_dt &gt; '2022-12-31')
and model_cd = 'ES'</t>
        </r>
      </text>
    </comment>
    <comment ref="Q10" authorId="0" shapeId="0" xr:uid="{FA53003C-2463-41FF-9A2A-C66D1E370A07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TO_DATE('2022-12-01', 'YYYY-MM-DD') and TO_DATE('2022-12-31', 'YYYY-MM-DD')
and (cancel_dt is null or cancel_dt &gt; '2022-12-31')
and model_cd = 'ES'</t>
        </r>
      </text>
    </comment>
    <comment ref="M11" authorId="0" shapeId="0" xr:uid="{983F4F3A-9723-4DBD-9D82-EF594AF006F4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TO_DATE('20220131', 'YYYY-MM-DD'))
AND  SUBSTR(LAST_RETAIL_SALES_DT, 0, 10) BETWEEN TO_CHAR(TO_DATE('20220101', 'YYYYMMDD'), 'YYYY-MM-DD HH24:MI:SS') 
                                         AND  TO_CHAR(TO_DATE('20220131', 'YYYYMMDD'), 'YYYY-MM-DD HH24:MI:SS')
AND  CG.HOLDING_ID = 'DT00000' 
AND  B.PROGRESS_ST='S0'
AND C.MODEL_CD = 'ES'</t>
        </r>
      </text>
    </comment>
    <comment ref="O11" authorId="0" shapeId="0" xr:uid="{CFCA9A1E-4540-4555-84CB-7A19296A2CFF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TO_DATE('2022-01-01', 'YYYY-MM-DD') and TO_DATE('2022-01-31', 'YYYY-MM-DD')
and (cancel_dt is null or cancel_dt &gt; '2022-01-31')
and model_cd = 'ES'</t>
        </r>
      </text>
    </comment>
    <comment ref="M12" authorId="0" shapeId="0" xr:uid="{3AC938AD-F899-4590-AFB2-847154628428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TO_DATE('20230131', 'YYYY-MM-DD'))
AND  SUBSTR(LAST_RETAIL_SALES_DT, 0, 10) BETWEEN TO_CHAR(TO_DATE('20230101', 'YYYYMMDD'), 'YYYY-MM-DD HH24:MI:SS') 
AND  TO_CHAR(TO_DATE('20230131', 'YYYYMMDD'), 'YYYY-MM-DD HH24:MI:SS')
AND  CG.HOLDING_ID = 'DT00000' 
AND  B.PROGRESS_ST='S0'
AND C.MODEL_CD = 'ES'</t>
        </r>
      </text>
    </comment>
    <comment ref="N12" authorId="0" shapeId="0" xr:uid="{1742D2D0-A71A-4AAF-A17A-CBDEBF3B6835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TO_DATE('20220131', 'YYYY-MM-DD'))
AND  SUBSTR(LAST_RETAIL_SALES_DT, 0, 10) BETWEEN TO_CHAR(TO_DATE('20220101', 'YYYYMMDD'), 'YYYY-MM-DD HH24:MI:SS') 
                                         AND  TO_CHAR(TO_DATE('20220131', 'YYYYMMDD'), 'YYYY-MM-DD HH24:MI:SS')
AND  CG.HOLDING_ID = 'DT00000' 
AND  B.PROGRESS_ST='S0'
AND C.MODEL_CD = 'ES'</t>
        </r>
      </text>
    </comment>
    <comment ref="O12" authorId="0" shapeId="0" xr:uid="{ABF3FF5C-5460-4ABA-B11F-09FE5F9173FF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TO_DATE('2023-01-01', 'YYYY-MM-DD') and TO_DATE('2023-01-31', 'YYYY-MM-DD')
and (cancel_dt is null or cancel_dt &gt; '2023-01-31')
and model_cd = 'ES'</t>
        </r>
      </text>
    </comment>
    <comment ref="P12" authorId="0" shapeId="0" xr:uid="{AF0ECA50-EC88-4678-AC09-0FF19D69226B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TO_DATE('2022-01-01', 'YYYY-MM-DD') and TO_DATE('2022-01-31', 'YYYY-MM-DD')
and (cancel_dt is null or cancel_dt &gt; '2022-01-31')
and model_cd = 'ES'</t>
        </r>
      </text>
    </comment>
    <comment ref="Q12" authorId="0" shapeId="0" xr:uid="{800479A8-4917-4B82-800B-598ABB6AC0A6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TO_DATE('2022-01-01', 'YYYY-MM-DD') and TO_DATE('2022-01-31', 'YYYY-MM-DD')
and (cancel_dt is null or cancel_dt &gt; '2022-01-31')
and model_cd = 'ES'</t>
        </r>
      </text>
    </comment>
    <comment ref="M13" authorId="0" shapeId="0" xr:uid="{610E08E6-484A-4DA5-ABB6-9078B6A15F8B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TO_DATE('20221231', 'YYYY-MM-DD'))
AND  SUBSTR(LAST_RETAIL_SALES_DT, 0, 10) BETWEEN TO_CHAR(TO_DATE('20221001', 'YYYYMMDD'), 'YYYY-MM-DD HH24:MI:SS') 
                                         AND  TO_CHAR(TO_DATE('20221231', 'YYYYMMDD'), 'YYYY-MM-DD HH24:MI:SS')
AND  CG.HOLDING_ID = 'DT00000' 
AND  B.PROGRESS_ST='S0'
AND C.MODEL_CD = 'ES'</t>
        </r>
      </text>
    </comment>
    <comment ref="O13" authorId="0" shapeId="0" xr:uid="{5BE2FA5E-1ED7-46FF-83FD-B7CAEFEC9BD6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TO_DATE('2022-10-01', 'YYYY-MM-DD') and TO_DATE('2022-12-31', 'YYYY-MM-DD')
and (cancel_dt is null or cancel_dt &gt; '2022-12-31')
and model_cd = 'ES'</t>
        </r>
      </text>
    </comment>
    <comment ref="M14" authorId="0" shapeId="0" xr:uid="{E2280D65-D692-4E01-814F-9561A24E484F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TO_DATE('20230131', 'YYYY-MM-DD'))
AND  SUBSTR(LAST_RETAIL_SALES_DT, 0, 10) BETWEEN TO_CHAR(TO_DATE('20230101', 'YYYYMMDD'), 'YYYY-MM-DD HH24:MI:SS') 
AND  TO_CHAR(TO_DATE('20230131', 'YYYYMMDD'), 'YYYY-MM-DD HH24:MI:SS')
AND  CG.HOLDING_ID = 'DT00000' 
AND  B.PROGRESS_ST='S0'
AND C.MODEL_CD = 'ES'</t>
        </r>
      </text>
    </comment>
    <comment ref="N14" authorId="0" shapeId="0" xr:uid="{57465774-878C-4C77-AB95-4EDA3730B793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TO_DATE('20221231', 'YYYY-MM-DD'))
AND  SUBSTR(LAST_RETAIL_SALES_DT, 0, 10) BETWEEN TO_CHAR(TO_DATE('20221001', 'YYYYMMDD'), 'YYYY-MM-DD HH24:MI:SS') 
                                         AND  TO_CHAR(TO_DATE('20221231', 'YYYYMMDD'), 'YYYY-MM-DD HH24:MI:SS')
AND  CG.HOLDING_ID = 'DT00000' 
AND  B.PROGRESS_ST='S0'
AND C.MODEL_CD = 'ES'</t>
        </r>
      </text>
    </comment>
    <comment ref="O14" authorId="0" shapeId="0" xr:uid="{953C5354-C351-4260-A526-6C428C680454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TO_DATE('2023-01-01', 'YYYY-MM-DD') and TO_DATE('2023-01-31', 'YYYY-MM-DD')
and (cancel_dt is null or cancel_dt &gt; '2023-01-31')
and model_cd = 'ES'</t>
        </r>
      </text>
    </comment>
    <comment ref="P14" authorId="0" shapeId="0" xr:uid="{4DC65DAD-381D-4285-B2EF-872F77DBFF7D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TO_DATE('2022-10-01', 'YYYY-MM-DD') and TO_DATE('2022-12-31', 'YYYY-MM-DD')
and (cancel_dt is null or cancel_dt &gt; '2022-12-31')
and model_cd = 'ES'</t>
        </r>
      </text>
    </comment>
    <comment ref="Q14" authorId="0" shapeId="0" xr:uid="{FDEA72A8-F924-4F7A-80D7-12645712E539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TO_DATE('2022-10-01', 'YYYY-MM-DD') and TO_DATE('2022-12-31', 'YYYY-MM-DD')
and (cancel_dt is null or cancel_dt &gt; '2022-12-31')
and model_cd = 'ES'</t>
        </r>
      </text>
    </comment>
    <comment ref="M15" authorId="0" shapeId="0" xr:uid="{CBF1C0B0-930D-42C9-AC76-C173A22C71F6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TO_DATE('20221231', 'YYYY-MM-DD'))
AND  SUBSTR(LAST_RETAIL_SALES_DT, 0, 10) BETWEEN TO_CHAR(TO_DATE('20220701', 'YYYYMMDD'), 'YYYY-MM-DD HH24:MI:SS') 
                                         AND  TO_CHAR(TO_DATE('20221231', 'YYYYMMDD'), 'YYYY-MM-DD HH24:MI:SS')
AND  CG.HOLDING_ID = 'DT00000' 
AND  B.PROGRESS_ST='S0'
AND C.MODEL_CD = 'ES'</t>
        </r>
      </text>
    </comment>
    <comment ref="O15" authorId="0" shapeId="0" xr:uid="{ECF4559D-9D63-4275-BE23-F67C5A9783CC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TO_DATE('2022-07-01', 'YYYY-MM-DD') and TO_DATE('2022-12-31', 'YYYY-MM-DD')
and (cancel_dt is null or cancel_dt &gt; '2022-12-31')
and model_cd = 'ES'</t>
        </r>
      </text>
    </comment>
    <comment ref="M16" authorId="0" shapeId="0" xr:uid="{3DCE1034-3B7F-4401-A3AE-14E9B2DB4262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TO_DATE('20230131', 'YYYY-MM-DD'))
AND  SUBSTR(LAST_RETAIL_SALES_DT, 0, 10) BETWEEN TO_CHAR(TO_DATE('20230101', 'YYYYMMDD'), 'YYYY-MM-DD HH24:MI:SS') 
AND  TO_CHAR(TO_DATE('20230131', 'YYYYMMDD'), 'YYYY-MM-DD HH24:MI:SS')
AND  CG.HOLDING_ID = 'DT00000' 
AND  B.PROGRESS_ST='S0'
AND C.MODEL_CD = 'ES'</t>
        </r>
      </text>
    </comment>
    <comment ref="N16" authorId="0" shapeId="0" xr:uid="{F5D17BB1-1114-43FA-B8C5-F3220BC8C28A}">
      <text>
        <r>
          <rPr>
            <b/>
            <sz val="9"/>
            <color indexed="81"/>
            <rFont val="Tahoma"/>
            <family val="2"/>
          </rPr>
          <t>SELECT COUNT(*) AS CNT_MTD
FROM OM_CONTRACT A
    , OM_RETAIL_SALES B
    , VS_VARIANT C
    , CO_GROUP CG
WHERE  A.CONTRACT_NO=B.CONTRACT_NO(+) 
AND  A.LAST_RETAIL_SALES_DT=B.RETAIL_SALES_DT(+)
AND  A.BRAND_CD = C.BRAND_CD
AND  A.MODEL_CD = C.MODEL_CD
AND  A.VARIANT_CD = C.VARIANT_CD
AND  A.DEALER_ID = CG.GROUP_ID
AND  (CANCEL_DT IS NULL OR CANCEL_DT &gt; TO_DATE('20221231', 'YYYY-MM-DD'))
AND  SUBSTR(LAST_RETAIL_SALES_DT, 0, 10) BETWEEN TO_CHAR(TO_DATE('20220701', 'YYYYMMDD'), 'YYYY-MM-DD HH24:MI:SS') 
                                         AND  TO_CHAR(TO_DATE('20221231', 'YYYYMMDD'), 'YYYY-MM-DD HH24:MI:SS')
AND  CG.HOLDING_ID = 'DT00000' 
AND  B.PROGRESS_ST='S0'
AND C.MODEL_CD = 'ES'</t>
        </r>
      </text>
    </comment>
    <comment ref="O16" authorId="0" shapeId="0" xr:uid="{2FA40CF0-B1F6-4431-B90B-FD565C014BF1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TO_DATE('2023-01-01', 'YYYY-MM-DD') and TO_DATE('2023-01-31', 'YYYY-MM-DD')
and (cancel_dt is null or cancel_dt &gt; '2023-01-31')
and model_cd = 'ES'</t>
        </r>
      </text>
    </comment>
    <comment ref="P16" authorId="0" shapeId="0" xr:uid="{34EFDE11-1456-46D7-A319-52978EF9B2D9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TO_DATE('2022-07-01', 'YYYY-MM-DD') and TO_DATE('2022-12-31', 'YYYY-MM-DD')
and (cancel_dt is null or cancel_dt &gt; '2022-12-31')
and model_cd = 'ES'</t>
        </r>
      </text>
    </comment>
    <comment ref="Q16" authorId="0" shapeId="0" xr:uid="{D826DEBC-3B2D-4AF9-A80B-431ECF9F28EA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retail_sales_dt between TO_DATE('2022-07-01', 'YYYY-MM-DD') and TO_DATE('2022-12-31', 'YYYY-MM-DD')
and (cancel_dt is null or cancel_dt &gt; '2022-12-31')
and model_cd = 'ES'</t>
        </r>
      </text>
    </comment>
    <comment ref="M17" authorId="0" shapeId="0" xr:uid="{761FF0DD-62E8-4067-8D1B-9DF27FD36517}">
      <text>
        <r>
          <rPr>
            <b/>
            <sz val="9"/>
            <color indexed="81"/>
            <rFont val="Tahoma"/>
            <family val="2"/>
          </rPr>
          <t>SELECT SUM(NVL(A.CONTRACT_TARGET_QTY,0)) AS CONTRACT_TARGET_QTY
FROM VT_MONTHLY_TARGET A
    , (SELECT *
       FROM(SELECT  REPORT_VARIANT_NM
                , MON_TARGET_CD
                ,ROW_NUMBER() OVER(PARTITION BY MON_TARGET_CD ORDER BY DISPLAY_ORDER) AS RN
                ,SALES_YN
                ,DAILY_REPORT_YN
            FROM VS_VARIANT A
            WHERE 1=1
       )
       WHERE RN = 1
    ) B
    , CO_GROUP CG
    , VS_VARIANT V
WHERE 1=1
AND A.MON_TARGET_CD = B.MON_TARGET_CD
AND B.MON_TARGET_CD = V.MON_TARGET_CD
AND A.DEALER_ID = CG.GROUP_ID
AND CG.HOLDING_ID = 'DT00000'
AND A.TARGET_YM = '202301'
AND V.MODEL_CD = 'ES'</t>
        </r>
      </text>
    </comment>
    <comment ref="O17" authorId="0" shapeId="0" xr:uid="{1619FEB5-4F93-4837-B462-41AFC3C64348}">
      <text>
        <r>
          <rPr>
            <b/>
            <sz val="9"/>
            <color indexed="81"/>
            <rFont val="Tahoma"/>
            <family val="2"/>
          </rPr>
          <t>select SUM(SA_KPI_CODE_AMT)
from dms_sales_kpi_resource_day a
    , dms_co_variant_yyyymm_v b
where 1=1
AND a.dms_brand_cd = b.dms_brand_cd
AND substring(a.yyyymmdd, 1, 6) = yyyymm
AND a.report_variant_cd = b.report_variant_cd
and a.dms_brand_cd = 'L'
and dealer_id = 'DT00000'
and a.yyyymmdd like '202301%'
and a.sa_kpi_code_type = 'DMS_BI_SA003'
and a.sa_kpi_code = 'CONTRACT'
and b.model_cd = 'ES'</t>
        </r>
      </text>
    </comment>
    <comment ref="M18" authorId="0" shapeId="0" xr:uid="{20C2403F-C06A-4EFD-88DE-7DF3A5BC3EAB}">
      <text>
        <r>
          <rPr>
            <b/>
            <sz val="9"/>
            <color indexed="81"/>
            <rFont val="Tahoma"/>
            <family val="2"/>
          </rPr>
          <t>SELECT SUM(CASE WHEN A.RS_CO_TYPE = 'CO'
                THEN A.CNT
                ELSE 0
           END) AS CO_CNT
FROM (SELECT RS_CO_TYPE
          , BRAND_CD
          , MODEL_CD
          , VARIANT_CD
          , '202301' || SUBSTR(TARGET_DT,-2) AS TARGET_DT
          , CNT       
      FROM (SELECT A.*
            FROM VT_DAILY_SALES_TREND A
                ,(SELECT GROUP_ID, HOLDING_ID FROM CO_GROUP WHERE GROUP_TYPE='S') C
            WHERE 1=1
            AND A.EOD_MONTH = '2023-01'
            AND A.DEALER_ID = C.GROUP_ID(+)
            AND A.DEALER_ID = 'DT00000'
            AND A.DEALER_ID &lt;&gt; '00000'
      )
      UNPIVOT (CNT FOR TARGET_DT IN (
          "TARGET_01","TARGET_02","TARGET_03","TARGET_04","TARGET_05",
          "TARGET_06","TARGET_07","TARGET_08","TARGET_09","TARGET_10",
          "TARGET_11","TARGET_12","TARGET_13","TARGET_14","TARGET_15",
          "TARGET_16","TARGET_17","TARGET_18","TARGET_19","TARGET_20",
          "TARGET_21","TARGET_22","TARGET_23","TARGET_24","TARGET_25",
          "TARGET_26","TARGET_27","TARGET_28","TARGET_29","TARGET_30",
          "TARGET_31"))
    ) A
    ,(SELECT *
      FROM (SELECT A.BRAND_CD
                , A.MODEL_CD
                , REPORT_VARIANT_NM
                , DAILY_REPORT_VARIANT_CD
                , ROW_NUMBER() OVER(PARTITION BY DAILY_REPORT_VARIANT_CD ORDER BY DISPLAY_ORDER) AS RN
            FROM VS_VARIANT A
            WHERE 1=1
            AND MODEL_CD = 'ES')
      WHERE RN = 1) B
WHERE 1=1
AND A.BRAND_CD = B.BRAND_CD
AND A.MODEL_CD = B.MODEL_CD
AND A.VARIANT_CD = B.DAILY_REPORT_VARIANT_CD
AND A.TARGET_DT = '20230115'</t>
        </r>
      </text>
    </comment>
    <comment ref="O18" authorId="0" shapeId="0" xr:uid="{48D7A397-F44A-4C4A-8ADD-27ECB29C1ADE}">
      <text>
        <r>
          <rPr>
            <b/>
            <sz val="9"/>
            <color indexed="81"/>
            <rFont val="Tahoma"/>
            <family val="2"/>
          </rPr>
          <t>select SUM(SA_KPI_CODE_AMT)
from dms_sales_kpi_resource_day a
    , dms_co_variant_yyyymm_v b
where 1=1
AND a.dms_brand_cd = b.dms_brand_cd
AND substring(a.yyyymmdd, 1, 6) = yyyymm
AND a.report_variant_cd = b.report_variant_cd
and a.dms_brand_cd = 'L'
and dealer_id = 'DT00000'
and yyyymmdd between '20230101' and '20230115'
and a.sa_kpi_code_type = 'DMS_BI_SA003'
and a.sa_kpi_code = 'CONTRACT'
and b.model_cd = 'ES'</t>
        </r>
      </text>
    </comment>
    <comment ref="M19" authorId="0" shapeId="0" xr:uid="{1753478B-981E-4B15-86E2-E0B318C847BF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BETWEEN '20230101' AND '20230115'
AND CG.HOLDING_ID = 'DT00000'
AND C.MODEL_CD = 'ES'</t>
        </r>
      </text>
    </comment>
    <comment ref="O19" authorId="1" shapeId="0" xr:uid="{A5235563-5BE0-4FAC-821A-1641DBBFAA30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TO_DATE('2023-01-01', 'YYYY-MM-DD') and TO_DATE('2023-01-15', 'YYYY-MM-DD')
and model_cd = 'ES'</t>
        </r>
      </text>
    </comment>
    <comment ref="M20" authorId="0" shapeId="0" xr:uid="{3311CC74-4960-4A23-BB00-F13CC3A0D935}">
      <text>
        <r>
          <rPr>
            <b/>
            <sz val="9"/>
            <color indexed="81"/>
            <rFont val="맑은 고딕"/>
            <family val="2"/>
            <charset val="129"/>
          </rPr>
          <t>SELECT ROUND((SUM(NVL(A.CONTRACT_TARGET_QTY,0)) * Z.CO_KPI_CODE_AMT) / 100, 0)
FROM VT_MONTHLY_TARGET A
    , (SELECT *
       FROM(SELECT  REPORT_VARIANT_NM
                , MON_TARGET_CD
                ,ROW_NUMBER() OVER(PARTITION BY MON_TARGET_CD ORDER BY DISPLAY_ORDER) AS RN
                ,SALES_YN
                ,DAILY_REPORT_YN
            FROM VS_VARIANT A
            WHERE 1=1
       )
       WHERE RN = 1
    ) B
    , CO_GROUP CG
    , VS_VARIANT V
    , (SELECT SUM(CO_KPI_CODE_AMT) AS CO_KPI_CODE_AMT
       FROM DMS_BI.DMS_CO_KPI_RESOURCE Z
       WHERE 1=1
       AND Z.YYYYMMDD BETWEEN '20230101' AND '20230115'
       AND Z.CO_KPI_CODE = 'CONTRACT_RATIO'
       AND Z.DMS_BRAND_CD = 'L') Z
WHERE 1=1
AND A.MON_TARGET_CD = B.MON_TARGET_CD
AND B.MON_TARGET_CD = V.MON_TARGET_CD
AND A.DEALER_ID = CG.GROUP_ID
AND CG.HOLDING_ID = 'DT00000'
AND A.TARGET_YM = '202301'
AND V.MODEL_CD = 'ES'
GROUP BY Z.CO_KPI_CODE_AMT</t>
        </r>
      </text>
    </comment>
    <comment ref="O20" authorId="0" shapeId="0" xr:uid="{9881C2E9-301C-43FF-ACBF-735008CA7F51}">
      <text>
        <r>
          <rPr>
            <b/>
            <sz val="9"/>
            <color indexed="81"/>
            <rFont val="맑은 고딕"/>
            <family val="2"/>
            <charset val="129"/>
          </rPr>
          <t>select round((SUM(SA_KPI_CODE_AMT) * co_kpi_code_amt) / 100, 0) as val
from dms_sales_kpi_resource_day a
    , dms_co_variant_yyyymm_v b
    , (select sum(co_kpi_code_amt::numeric) as co_kpi_code_amt
       from dms_co_kpi_resource z
       where 1=1
       and z.yyyymmdd between '20230101' and '20230115'
       and z.co_kpi_code = 'CONTRACT_RATIO'
       and dms_brand_cd = 'L') z
where 1=1
AND a.dms_brand_cd = b.dms_brand_cd
AND substring(a.yyyymmdd, 1, 6) = yyyymm
AND a.report_variant_cd = b.report_variant_cd
and a.dms_brand_cd = 'L'
and a.dealer_id = 'DT00000'
and a.yyyymmdd like '202301%'
and a.sa_kpi_code_type = 'DMS_BI_SA003'
and a.sa_kpi_code = 'CONTRACT'
and b.model_cd = 'ES'
group by co_kpi_code_amt</t>
        </r>
      </text>
    </comment>
    <comment ref="M21" authorId="0" shapeId="0" xr:uid="{EF985904-37CF-4F1A-A614-E31ECC27A590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LIKE '202301%'
AND CG.HOLDING_ID = 'DT00000'
AND C.MODEL_CD = 'ES'</t>
        </r>
      </text>
    </comment>
    <comment ref="O21" authorId="0" shapeId="0" xr:uid="{DE886950-CF96-4137-8B61-B9CD307D2D35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TO_DATE('2023-01-01', 'YYYY-MM-DD') and TO_DATE('2023-01-31', 'YYYY-MM-DD')
and model_cd = 'ES'</t>
        </r>
      </text>
    </comment>
    <comment ref="O22" authorId="0" shapeId="0" xr:uid="{4CDD6EA0-E063-4803-A8DC-DAE18D9DDA98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TO_DATE('2022-12-01', 'YYYY-MM-DD') and TO_DATE('2022-12-31', 'YYYY-MM-DD')
and model_cd = 'ES'</t>
        </r>
      </text>
    </comment>
    <comment ref="M23" authorId="0" shapeId="0" xr:uid="{2A8DCA62-658C-479D-A954-312D715CFC94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LIKE '202301%'
AND CG.HOLDING_ID = 'DT00000'
AND C.MODEL_CD = 'ES'</t>
        </r>
      </text>
    </comment>
    <comment ref="O23" authorId="0" shapeId="0" xr:uid="{E5DB326B-A64C-4C78-A82E-65CDA65F3F3B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TO_DATE('2023-01-01', 'YYYY-MM-DD') and TO_DATE('2023-01-31', 'YYYY-MM-DD')
and model_cd = 'ES'</t>
        </r>
      </text>
    </comment>
    <comment ref="P23" authorId="0" shapeId="0" xr:uid="{74FB5ACB-FF7C-42B4-A647-7F2691D2FB33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TO_DATE('2022-12-01', 'YYYY-MM-DD') and TO_DATE('2022-12-31', 'YYYY-MM-DD')
and model_cd = 'ES'</t>
        </r>
      </text>
    </comment>
    <comment ref="Q23" authorId="0" shapeId="0" xr:uid="{8C65EB77-E7EE-43FF-A762-54375D2A91AA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TO_DATE('2022-12-01', 'YYYY-MM-DD') and TO_DATE('2022-12-31', 'YYYY-MM-DD')
and model_cd = 'ES'</t>
        </r>
      </text>
    </comment>
    <comment ref="M24" authorId="0" shapeId="0" xr:uid="{9FB1E9F4-C8EC-4D92-96FD-DCA377C982AA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LIKE '202201%'
AND CG.HOLDING_ID = 'DT00000'
AND C.MODEL_CD = 'ES'</t>
        </r>
      </text>
    </comment>
    <comment ref="O24" authorId="0" shapeId="0" xr:uid="{7A65532B-AA3F-46CE-BDB7-F253A29EE070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TO_DATE('2022-01-01', 'YYYY-MM-DD') and TO_DATE('2022-01-31', 'YYYY-MM-DD')
and model_cd = 'ES'</t>
        </r>
      </text>
    </comment>
    <comment ref="M25" authorId="0" shapeId="0" xr:uid="{4764CB2C-019A-496B-8846-037038CCC084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LIKE '202301%'
AND CG.HOLDING_ID = 'DT00000'
AND C.MODEL_CD = 'ES'</t>
        </r>
      </text>
    </comment>
    <comment ref="N25" authorId="0" shapeId="0" xr:uid="{6A8513EE-84BB-4C63-B68A-849E2DC57EE1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LIKE '202201%'
AND CG.HOLDING_ID = 'DT00000'
AND C.MODEL_CD = 'ES'</t>
        </r>
      </text>
    </comment>
    <comment ref="O25" authorId="0" shapeId="0" xr:uid="{FDD23ECB-E33D-43C8-92C6-F8318994844E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TO_DATE('2023-01-01', 'YYYY-MM-DD') and TO_DATE('2023-01-31', 'YYYY-MM-DD')
and model_cd = 'ES'</t>
        </r>
      </text>
    </comment>
    <comment ref="P25" authorId="0" shapeId="0" xr:uid="{88CCE887-8D66-4A6D-AF4F-2CDF05DFB4E3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TO_DATE('2022-01-01', 'YYYY-MM-DD') and TO_DATE('2022-01-31', 'YYYY-MM-DD')
and model_cd = 'ES'</t>
        </r>
      </text>
    </comment>
    <comment ref="Q25" authorId="0" shapeId="0" xr:uid="{CA974A60-85AC-49FF-83B0-88DC9C067988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TO_DATE('2022-01-01', 'YYYY-MM-DD') and TO_DATE('2022-01-31', 'YYYY-MM-DD')
and model_cd = 'ES'</t>
        </r>
      </text>
    </comment>
    <comment ref="M26" authorId="0" shapeId="0" xr:uid="{F3CC66BC-991E-4088-9248-8C304D50DE0F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between '20221001' AND '20221231'
AND CG.HOLDING_ID = 'DT00000'
AND C.MODEL_CD = 'ES'</t>
        </r>
      </text>
    </comment>
    <comment ref="O26" authorId="0" shapeId="0" xr:uid="{87D7A5B1-4824-4281-B1BE-F12C870DB8AC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TO_DATE('2022-10-01', 'YYYY-MM-DD') and TO_DATE('2022-12-31', 'YYYY-MM-DD')
and model_cd = 'ES'</t>
        </r>
      </text>
    </comment>
    <comment ref="M27" authorId="0" shapeId="0" xr:uid="{3E9F0D50-8C50-4315-B9D7-7E9EAF153527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LIKE '202301%'
AND CG.HOLDING_ID = 'DT00000'
AND C.MODEL_CD = 'ES'</t>
        </r>
      </text>
    </comment>
    <comment ref="N27" authorId="0" shapeId="0" xr:uid="{1F8793F0-F5E7-4030-8F09-54218FD8DB2E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between '20221001' AND '20220131'
AND CG.HOLDING_ID = 'DT00000'
AND C.MODEL_CD = 'ES'</t>
        </r>
      </text>
    </comment>
    <comment ref="O27" authorId="0" shapeId="0" xr:uid="{2C56A02B-F986-4C17-98C9-193A4472C296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TO_DATE('2023-01-01', 'YYYY-MM-DD') and TO_DATE('2023-01-31', 'YYYY-MM-DD')
and model_cd = 'ES'</t>
        </r>
      </text>
    </comment>
    <comment ref="P27" authorId="0" shapeId="0" xr:uid="{48F466D3-8891-4F8B-A76F-DCAC05719365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TO_DATE('2022-10-01', 'YYYY-MM-DD') and TO_DATE('2022-12-31', 'YYYY-MM-DD')
and model_cd = 'ES'</t>
        </r>
      </text>
    </comment>
    <comment ref="Q27" authorId="0" shapeId="0" xr:uid="{78E09F90-BAF3-4965-A0AB-017A968018A5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TO_DATE('2022-10-01', 'YYYY-MM-DD') and TO_DATE('2023-01-31', 'YYYY-MM-DD')
and model_cd = 'ES'</t>
        </r>
      </text>
    </comment>
    <comment ref="M28" authorId="0" shapeId="0" xr:uid="{20FE348C-7E9E-4521-9A87-AD647AC82DCF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between '20220701' AND '20221231'
AND CG.HOLDING_ID = 'DT00000'
AND C.MODEL_CD = 'ES'</t>
        </r>
      </text>
    </comment>
    <comment ref="O28" authorId="0" shapeId="0" xr:uid="{3E543F1D-B944-41B3-A644-EEA7AA797362}">
      <text>
        <r>
          <rPr>
            <b/>
            <sz val="9"/>
            <color indexed="81"/>
            <rFont val="Tahoma"/>
            <family val="2"/>
          </rPr>
          <t xml:space="preserve">select count(*)
from dms_sales_contract a
where 1=1
and a.dms_brand_cd = 'L'
and a.dealer_id = 'DT00000'
and a.contract_reg_dt between TO_DATE('2022-07-01', 'YYYY-MM-DD') and TO_DATE('2022-12-31', 'YYYY-MM-DD')
and model_cd = 'ES'
</t>
        </r>
      </text>
    </comment>
    <comment ref="M29" authorId="0" shapeId="0" xr:uid="{3B542345-1C98-4FCA-B8BF-CEF931493486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LIKE '202301%'
AND CG.HOLDING_ID = 'DT00000'
AND C.MODEL_CD = 'ES'</t>
        </r>
      </text>
    </comment>
    <comment ref="N29" authorId="0" shapeId="0" xr:uid="{4C939461-BF2A-4AFA-A0CC-CFA5BED64D58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between '20220701' AND '20221231'
AND CG.HOLDING_ID = 'DT00000'
AND C.MODEL_CD = 'ES'</t>
        </r>
      </text>
    </comment>
    <comment ref="O29" authorId="0" shapeId="0" xr:uid="{AC74CAB2-0304-48D2-9B44-CCFD30FCC678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TO_DATE('2023-01-01', 'YYYY-MM-DD') and TO_DATE('2023-01-31', 'YYYY-MM-DD')
and model_cd = 'ES'</t>
        </r>
      </text>
    </comment>
    <comment ref="P29" authorId="0" shapeId="0" xr:uid="{A47A2B84-0693-47A1-8B79-B7EB60D8CC8D}">
      <text>
        <r>
          <rPr>
            <b/>
            <sz val="9"/>
            <color indexed="81"/>
            <rFont val="Tahoma"/>
            <family val="2"/>
          </rPr>
          <t xml:space="preserve">select count(*)
from dms_sales_contract a
where 1=1
and a.dms_brand_cd = 'L'
and a.dealer_id = 'DT00000'
and a.contract_reg_dt between TO_DATE('2022-07-01', 'YYYY-MM-DD') and TO_DATE('2022-12-31', 'YYYY-MM-DD')
and model_cd = 'ES'
</t>
        </r>
      </text>
    </comment>
    <comment ref="M30" authorId="1" shapeId="0" xr:uid="{FD2063E2-560D-4847-B851-81FAF8B44AE6}">
      <text>
        <r>
          <rPr>
            <sz val="11"/>
            <color theme="1"/>
            <rFont val="맑은 고딕"/>
            <family val="2"/>
            <charset val="129"/>
            <scheme val="minor"/>
          </rPr>
          <t>SELECT SUM(CO_MTD_CNT)
FROM OM_EOD A, CO_GROUP B, VS_VARIANT C
WHERE 1=1
AND A.DEALER_ID = B.GROUP_ID
AND A.MODEL_CD = C.MODEL_CD
AND A.VARIANT_CD = C.VARIANT_CD
AND A.EOD_DT = '2022-10-31'
AND B.HOLDING_ID = 'DT00000'
AND A.MODEL_CD = 'ES'</t>
        </r>
      </text>
    </comment>
    <comment ref="N30" authorId="1" shapeId="0" xr:uid="{95F3BBB6-8C2F-46E5-BA06-20D59289C7BB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SELECT sa_kpi_code_amt
FROM dms_bi.dms_sales_kpi_resource
WHERE 1=1
AND dms_brand_cd = 'L'
AND dealer_id = 'DT00000'
AND yyyymm = '202310'
AND model_cd = 'ES'	</t>
        </r>
      </text>
    </comment>
    <comment ref="O30" authorId="1" shapeId="0" xr:uid="{690B35B4-688D-42D3-BE4A-A0F9AA837C15}">
      <text>
        <r>
          <rPr>
            <sz val="11"/>
            <color theme="1"/>
            <rFont val="맑은 고딕"/>
            <family val="2"/>
            <charset val="129"/>
            <scheme val="minor"/>
          </rPr>
          <t>select count(*) as cnt
from dms_sales_contract a, 
 (select distinct model_cd, variant_cd from dms_co_variant) b
where 1=1
and a.variant_cd = b.variant_cd
and dms_brand_cd = 'L'
and dealer_id = 'DT00000'
and contract_reg_dt between '2022-10-01' and '2022-10-31'
and b.model_cd = 'ES'</t>
        </r>
      </text>
    </comment>
    <comment ref="P30" authorId="1" shapeId="0" xr:uid="{FCA8C5C2-FA02-4FB7-9F2F-E0610B59A5EF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'202310'
AND model_cd = 'ES'</t>
        </r>
      </text>
    </comment>
    <comment ref="M31" authorId="1" shapeId="0" xr:uid="{0D7C019B-78F3-472B-8D5E-36F1AF729B94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SELECT SUM(CO_MTD_CNT)
FROM OM_EOD A, CO_GROUP B, VS_VARIANT C
WHERE 1=1
AND A.DEALER_ID = B.GROUP_ID
AND A.MODEL_CD = C.MODEL_CD
AND A.VARIANT_CD = C.VARIANT_CD
AND A.EOD_DT = '2022-11-30'
AND B.HOLDING_ID = 'DT00000'
AND A.MODEL_CD = 'ES'	</t>
        </r>
      </text>
    </comment>
    <comment ref="N31" authorId="1" shapeId="0" xr:uid="{E4C1DB10-BA37-4359-8F6D-D83E8CC2F922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dms_bi.dms_sales_kpi_resource
WHERE 1=1
AND dms_brand_cd = 'L'
AND dealer_id = 'DT00000'
AND yyyymm = '202311'
AND model_cd = 'ES'</t>
        </r>
      </text>
    </comment>
    <comment ref="O31" authorId="1" shapeId="0" xr:uid="{DC03793C-DD0F-400A-A056-33B655C89049}">
      <text>
        <r>
          <rPr>
            <sz val="11"/>
            <color theme="1"/>
            <rFont val="맑은 고딕"/>
            <family val="2"/>
            <charset val="129"/>
            <scheme val="minor"/>
          </rPr>
          <t>select count(*) as cnt
from dms_sales_contract a, 
 (select distinct model_cd, variant_cd from dms_co_variant) b
where 1=1
and a.variant_cd = b.variant_cd
and dms_brand_cd = 'L'
and dealer_id = 'DT00000'
and contract_reg_dt between '2022-11-01' and '2022-11-30'
and b.model_cd = 'ES'</t>
        </r>
      </text>
    </comment>
    <comment ref="P31" authorId="1" shapeId="0" xr:uid="{A780EE2D-E584-43D0-A4ED-7011427EB383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'202311'
AND model_cd = 'ES'</t>
        </r>
      </text>
    </comment>
    <comment ref="M32" authorId="1" shapeId="0" xr:uid="{CB8DCAE1-715C-44F1-8D75-F067A746674E}">
      <text>
        <r>
          <rPr>
            <sz val="11"/>
            <color theme="1"/>
            <rFont val="맑은 고딕"/>
            <family val="2"/>
            <charset val="129"/>
            <scheme val="minor"/>
          </rPr>
          <t>SELECT SUM(CO_MTD_CNT)
FROM OM_EOD A, CO_GROUP B, VS_VARIANT C
WHERE 1=1
AND A.DEALER_ID = B.GROUP_ID
AND A.MODEL_CD = C.MODEL_CD
AND A.VARIANT_CD = C.VARIANT_CD
AND A.EOD_DT = '2022-12-31'
AND B.HOLDING_ID = 'DT00000'
AND A.MODEL_CD = 'ES'</t>
        </r>
      </text>
    </comment>
    <comment ref="N32" authorId="1" shapeId="0" xr:uid="{5BFC2B14-2DAB-44B5-BD64-637960C8B0A6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SELECT sa_kpi_code_amt
FROM dms_bi.dms_sales_kpi_resource
WHERE 1=1
AND dms_brand_cd = 'L'
AND dealer_id = 'DT00000'
AND yyyymm = '202312'
AND model_cd = 'ES'	</t>
        </r>
      </text>
    </comment>
    <comment ref="O32" authorId="1" shapeId="0" xr:uid="{32121EA9-744F-4C11-B772-69788978570A}">
      <text>
        <r>
          <rPr>
            <sz val="11"/>
            <color theme="1"/>
            <rFont val="맑은 고딕"/>
            <family val="2"/>
            <charset val="129"/>
            <scheme val="minor"/>
          </rPr>
          <t>select count(*) as cnt
from dms_sales_contract a, 
 (select distinct model_cd, variant_cd from dms_co_variant) b
where 1=1
and a.variant_cd = b.variant_cd
and dms_brand_cd = 'L'
and dealer_id = 'DT00000'
and contract_reg_dt between '2022-12-01' and '2022-12-31'
and b.model_cd = 'ES'</t>
        </r>
      </text>
    </comment>
    <comment ref="P32" authorId="1" shapeId="0" xr:uid="{A59FB447-7C8B-4CD1-9133-A2F6772E3981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'202312'
AND model_cd = 'ES'</t>
        </r>
      </text>
    </comment>
    <comment ref="M33" authorId="1" shapeId="0" xr:uid="{B25D6F83-E3AF-446B-B34E-48303C6CCC0C}">
      <text>
        <r>
          <rPr>
            <b/>
            <sz val="9"/>
            <color indexed="81"/>
            <rFont val="Tahoma"/>
            <family val="2"/>
          </rPr>
          <t>(3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+2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+ 1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) / 3
*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쿼리는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O33" authorId="1" shapeId="0" xr:uid="{8D69D62C-C610-44D4-89AB-7E07514571DE}">
      <text>
        <r>
          <rPr>
            <b/>
            <sz val="9"/>
            <color indexed="81"/>
            <rFont val="Tahoma"/>
            <family val="2"/>
          </rPr>
          <t>(3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+2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+ 1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) / 3
*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쿼리는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M35" authorId="1" shapeId="0" xr:uid="{2A3EC168-90CE-489A-B8DA-FBC992E0D6B8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SELECT  B.MODEL_CD, SUM(TARGET_31) AS CNT
FROM  VT_DAILY_SALES_TREND_SHOP A,
  (
            SELECT *
               FROM(
                   SELECT  A.*
                           ,ROW_NUMBER() OVER(PARTITION BY DAILY_REPORT_VARIANT_CD ORDER BY DISPLAY_ORDER) AS RN
                   FROM  VS_VARIANT A
                   WHERE  1=1
--                   AND    A.DAILY_REPORT_YN = 'Y'
               )
            WHERE RN = 1    
        ) B
WHERE 1=1
AND  A.BRAND_CD = B.BRAND_CD
AND  A.MODEL_CD = B.MODEL_CD
AND  A.VARIANT_CD = B.DAILY_REPORT_VARIANT_CD
AND  A.EOD_MONTH = '2022-10'
AND  A.RS_CO_TYPE = 'CO'
AND  A.DEALER_ID = 'DT00000'
AND  B.BRAND_CD = 'L'
AND  B.MODEL_CD = 'ES'
GROUP BY B.MODEL_CD		</t>
        </r>
      </text>
    </comment>
    <comment ref="N35" authorId="1" shapeId="0" xr:uid="{85CB0B1F-A294-4423-9879-B58B0A7E1372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dms_bi.dms_sales_kpi_resource
WHERE 1=1
AND dms_brand_cd = 'L'
AND dealer_id = 'DT00000'
AND yyyymm = '202310'
AND model_cd = 'ES'</t>
        </r>
      </text>
    </comment>
    <comment ref="O35" authorId="1" shapeId="0" xr:uid="{58FE9483-BB26-4D23-A616-B325EACC88ED}">
      <text>
        <r>
          <rPr>
            <sz val="11"/>
            <color theme="1"/>
            <rFont val="맑은 고딕"/>
            <family val="2"/>
            <charset val="129"/>
            <scheme val="minor"/>
          </rPr>
          <t>select b.model_cd, sum(a.sa_kpi_code_amt) as target_amt
from dms_sales_kpi_resource_day a 
    , dms_co_report_variant_v b
where 1=1
and a.dms_brand_cd = b.dms_brand_cd
and a.report_variant_cd = b.report_variant_cd
and a.dealer_id = 'DT00000'
and a.yyyymmdd like '202210%'
and a.sa_kpi_code_type = 'DMS_BI_SA003'
and a.sa_kpi_code = 'CONTRACT'
and b.model_cd = 'ES'
group by b.model_cd</t>
        </r>
      </text>
    </comment>
    <comment ref="P35" authorId="1" shapeId="0" xr:uid="{1F30A635-6295-471F-B5E1-B94478A13680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'202310'
AND model_cd = 'ES'</t>
        </r>
      </text>
    </comment>
    <comment ref="M36" authorId="1" shapeId="0" xr:uid="{4CAE0F95-7CB1-42BC-977F-4F8F476FDC38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SELECT  B.MODEL_CD, SUM(TARGET_31) AS CNT
FROM  VT_DAILY_SALES_TREND_SHOP A,
  (
            SELECT *
               FROM(
                   SELECT  A.*
                           ,ROW_NUMBER() OVER(PARTITION BY DAILY_REPORT_VARIANT_CD ORDER BY DISPLAY_ORDER) AS RN
                   FROM  VS_VARIANT A
                   WHERE  1=1
--                   AND    A.DAILY_REPORT_YN = 'Y'
               )
            WHERE RN = 1    
        ) B
WHERE 1=1
AND  A.BRAND_CD = B.BRAND_CD
AND  A.MODEL_CD = B.MODEL_CD
AND  A.VARIANT_CD = B.DAILY_REPORT_VARIANT_CD
AND  A.EOD_MONTH = '2022-11'
AND  A.RS_CO_TYPE = 'CO'
AND  A.DEALER_ID = 'DT00000'
AND  B.BRAND_CD = 'L'
AND  B.MODEL_CD = 'ES'
GROUP BY B.MODEL_CD	</t>
        </r>
      </text>
    </comment>
    <comment ref="N36" authorId="1" shapeId="0" xr:uid="{820C6B4A-E1A5-4CF5-B207-06CCDA68A3CD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SELECT sa_kpi_code_amt
FROM dms_bi.dms_sales_kpi_resource
WHERE 1=1
AND dms_brand_cd = 'L'
AND dealer_id = 'DT00000'
AND yyyymm = '202311'
AND model_cd = 'ES'		</t>
        </r>
      </text>
    </comment>
    <comment ref="O36" authorId="1" shapeId="0" xr:uid="{085B0FFF-5176-4B69-9A85-2B40F124F835}">
      <text>
        <r>
          <rPr>
            <sz val="11"/>
            <color theme="1"/>
            <rFont val="맑은 고딕"/>
            <family val="2"/>
            <charset val="129"/>
            <scheme val="minor"/>
          </rPr>
          <t>select b.model_cd, sum(a.sa_kpi_code_amt) as target_amt
from dms_sales_kpi_resource_day a 
    , dms_co_report_variant_v b
where 1=1
and a.dms_brand_cd = b.dms_brand_cd
and a.report_variant_cd = b.report_variant_cd
and a.dealer_id = 'DT00000'
and a.yyyymmdd like '202211%'
and a.sa_kpi_code_type = 'DMS_BI_SA003'
and a.sa_kpi_code = 'CONTRACT'
and b.model_cd = 'ES'
group by b.model_cd</t>
        </r>
      </text>
    </comment>
    <comment ref="P36" authorId="1" shapeId="0" xr:uid="{EEA7582E-1616-4432-9F80-7D44CFFC12ED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'202311'
AND model_cd = 'ES'</t>
        </r>
      </text>
    </comment>
    <comment ref="M37" authorId="1" shapeId="0" xr:uid="{D8726A4F-7212-4B91-B5FB-A5BF1DC8ED2C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SELECT  B.MODEL_CD, SUM(TARGET_31) AS CNT
FROM  VT_DAILY_SALES_TREND_SHOP A,
  (
            SELECT *
               FROM(
                   SELECT  A.*
                           ,ROW_NUMBER() OVER(PARTITION BY DAILY_REPORT_VARIANT_CD ORDER BY DISPLAY_ORDER) AS RN
                   FROM  VS_VARIANT A
                   WHERE  1=1
                   AND    A.DAILY_REPORT_YN = 'Y'
               )
            WHERE RN = 1    
        ) B
WHERE 1=1
AND  A.BRAND_CD = B.BRAND_CD
AND  A.MODEL_CD = B.MODEL_CD
AND  A.VARIANT_CD = B.DAILY_REPORT_VARIANT_CD
AND  A.EOD_MONTH = '2022-12'
AND  A.RS_CO_TYPE = 'CO'
AND  A.DEALER_ID = 'DT00000'
AND  B.BRAND_CD = 'L'
AND  B.MODEL_CD = 'ES'
GROUP BY B.MODEL_CD	</t>
        </r>
      </text>
    </comment>
    <comment ref="N37" authorId="1" shapeId="0" xr:uid="{E0E34395-B91F-4E2F-BBD1-6C7CB1F49D6C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SELECT sa_kpi_code_amt
FROM dms_bi.dms_sales_kpi_resource
WHERE 1=1
AND dms_brand_cd = 'L'
AND dealer_id = 'DT00000'
AND yyyymm = '202312'
AND model_cd = 'ES'	</t>
        </r>
      </text>
    </comment>
    <comment ref="O37" authorId="1" shapeId="0" xr:uid="{B1AE8195-79D4-433F-9758-593E97422C43}">
      <text>
        <r>
          <rPr>
            <sz val="11"/>
            <color theme="1"/>
            <rFont val="맑은 고딕"/>
            <family val="2"/>
            <charset val="129"/>
            <scheme val="minor"/>
          </rPr>
          <t>select b.model_cd, sum(a.sa_kpi_code_amt) as target_amt
from dms_sales_kpi_resource_day a 
    , dms_co_report_variant_v b
where 1=1
and a.dms_brand_cd = b.dms_brand_cd
and a.report_variant_cd = b.report_variant_cd
and a.dealer_id = 'DT00000'
and a.yyyymmdd like '202212%'
and a.sa_kpi_code_type = 'DMS_BI_SA003'
and a.sa_kpi_code = 'CONTRACT'
and b.model_cd = 'ES'
group by b.model_cd</t>
        </r>
      </text>
    </comment>
    <comment ref="P37" authorId="1" shapeId="0" xr:uid="{777BE84B-9395-4A28-9E07-9CCFD8B87895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'202312'
AND model_cd = 'ES'</t>
        </r>
      </text>
    </comment>
    <comment ref="M38" authorId="1" shapeId="0" xr:uid="{03A99AB9-53D3-4A51-9DA0-8B0992EC1745}">
      <text>
        <r>
          <rPr>
            <b/>
            <sz val="9"/>
            <color indexed="81"/>
            <rFont val="맑은 고딕"/>
            <family val="3"/>
            <charset val="129"/>
          </rPr>
          <t>(3달 전 계약 +2달 전 계약 + 1달 전 계약) / 3
*각 수치 쿼리는 상위 항목 참고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8" authorId="1" shapeId="0" xr:uid="{2265407A-7C9E-4A0E-8518-F3414AD76668}">
      <text>
        <r>
          <rPr>
            <b/>
            <sz val="9"/>
            <color indexed="81"/>
            <rFont val="Tahoma"/>
            <family val="2"/>
          </rPr>
          <t>(3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+2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+ 1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) / 3
*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쿼리는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M40" authorId="1" shapeId="0" xr:uid="{CD08CBF5-F9A8-4ECF-BB1D-A0573AF24E35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SELECT SUM(RS_MTD_CNT)
FROM OM_EOD A, CO_GROUP B, VS_VARIANT C
WHERE 1=1
AND A.DEALER_ID = B.GROUP_ID
AND A.MODEL_CD = C.MODEL_CD
AND A.VARIANT_CD = C.VARIANT_CD
AND A.EOD_DT = '2022-10-31'
AND B.HOLDING_ID = 'DT00000'
AND A.MODEL_CD = 'ES'	</t>
        </r>
      </text>
    </comment>
    <comment ref="N40" authorId="1" shapeId="0" xr:uid="{1E370D5C-00AD-4B48-B178-4AB7E50148A0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dms_bi.dms_sales_kpi_resource
WHERE 1=1
AND dms_brand_cd = 'L'
AND dealer_id = 'DT00000'
AND yyyymm = '202310'
AND model_cd = 'ES'</t>
        </r>
      </text>
    </comment>
    <comment ref="O40" authorId="1" shapeId="0" xr:uid="{6B31E872-AB63-40FE-9FBC-B3197B48490B}">
      <text>
        <r>
          <rPr>
            <sz val="11"/>
            <color theme="1"/>
            <rFont val="맑은 고딕"/>
            <family val="2"/>
            <charset val="129"/>
            <scheme val="minor"/>
          </rPr>
          <t>select count(*) as cnt
from dms_sales_contract a, 
 (select distinct model_cd, variant_cd from dms_co_variant) b
where 1=1
and a.variant_cd = b.variant_cd
and dms_brand_cd = 'L'
and dealer_id = 'DT00000'
and retail_sales_dt between '2022-10-01' and '2022-10-31'
and contract_stat_cd = 'D4'
and b.model_cd = 'ES'</t>
        </r>
      </text>
    </comment>
    <comment ref="P40" authorId="1" shapeId="0" xr:uid="{7A46946D-FFB2-4A9B-8FEC-FF790398ABD5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'202310'
AND model_cd = 'ES'</t>
        </r>
      </text>
    </comment>
    <comment ref="M41" authorId="1" shapeId="0" xr:uid="{0B334CA6-D5C9-4064-8603-571162912C9B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SELECT SUM(RS_MTD_CNT)
FROM OM_EOD A, CO_GROUP B, VS_VARIANT C
WHERE 1=1
AND A.DEALER_ID = B.GROUP_ID
AND A.MODEL_CD = C.MODEL_CD
AND A.VARIANT_CD = C.VARIANT_CD
AND A.EOD_DT = '2022-11-30'
AND B.HOLDING_ID = 'DT00000'
AND A.MODEL_CD = 'ES'	</t>
        </r>
      </text>
    </comment>
    <comment ref="N41" authorId="1" shapeId="0" xr:uid="{C3DBDBCB-D691-4A3F-B332-F6A03270DE81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dms_bi.dms_sales_kpi_resource
WHERE 1=1
AND dms_brand_cd = 'L'
AND dealer_id = 'DT00000'
AND yyyymm = '202311'
AND model_cd = 'ES'</t>
        </r>
      </text>
    </comment>
    <comment ref="O41" authorId="1" shapeId="0" xr:uid="{1BEAC23A-EB03-4646-A3C8-0105B8550204}">
      <text>
        <r>
          <rPr>
            <sz val="11"/>
            <color theme="1"/>
            <rFont val="맑은 고딕"/>
            <family val="2"/>
            <charset val="129"/>
            <scheme val="minor"/>
          </rPr>
          <t>select count(*) as cnt
from dms_sales_contract a, 
 (select distinct model_cd, variant_cd from dms_co_variant) b
where 1=1
and a.variant_cd = b.variant_cd
and dms_brand_cd = 'L'
and dealer_id = 'DT00000'
and retail_sales_dt between '2022-11-01' and '2022-11-30'
and contract_stat_cd = 'D4'
and b.model_cd = 'ES'</t>
        </r>
      </text>
    </comment>
    <comment ref="P41" authorId="1" shapeId="0" xr:uid="{A96B8ABF-3B3F-46BF-8464-DC0AD84A4F09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'202311'
AND model_cd = 'ES'</t>
        </r>
      </text>
    </comment>
    <comment ref="M42" authorId="1" shapeId="0" xr:uid="{F6198EC5-8AFC-4056-996A-17C7FB0832A5}">
      <text>
        <r>
          <rPr>
            <sz val="11"/>
            <color theme="1"/>
            <rFont val="맑은 고딕"/>
            <family val="2"/>
            <charset val="129"/>
            <scheme val="minor"/>
          </rPr>
          <t>SELECT SUM(RS_MTD_CNT)
FROM OM_EOD A, CO_GROUP B, VS_VARIANT C
WHERE 1=1
AND A.DEALER_ID = B.GROUP_ID
AND A.MODEL_CD = C.MODEL_CD
AND A.VARIANT_CD = C.VARIANT_CD
AND A.EOD_DT = '2022-12-31'
AND B.HOLDING_ID = 'DT00000'
AND A.MODEL_CD = 'ES'</t>
        </r>
      </text>
    </comment>
    <comment ref="N42" authorId="1" shapeId="0" xr:uid="{46B6D2FB-791A-4A32-8B60-5B24C3E1C761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dms_bi.dms_sales_kpi_resource
WHERE 1=1
AND dms_brand_cd = 'L'
AND dealer_id = 'DT00000'
AND yyyymm = '202312'
AND model_cd = 'ES'</t>
        </r>
      </text>
    </comment>
    <comment ref="O42" authorId="1" shapeId="0" xr:uid="{D7B55449-F731-4BF0-9AD6-AC3B14961ADD}">
      <text>
        <r>
          <rPr>
            <sz val="11"/>
            <color theme="1"/>
            <rFont val="맑은 고딕"/>
            <family val="2"/>
            <charset val="129"/>
            <scheme val="minor"/>
          </rPr>
          <t>select count(*) as cnt
from dms_sales_contract a, 
 (select distinct model_cd, variant_cd from dms_co_variant) b
where 1=1
and a.variant_cd = b.variant_cd
and dms_brand_cd = 'L'
and dealer_id = 'DT00000'
and retail_sales_dt between '2022-12-01' and '2022-12-31'
and contract_stat_cd = 'D4'
and b.model_cd = 'ES'</t>
        </r>
      </text>
    </comment>
    <comment ref="P42" authorId="1" shapeId="0" xr:uid="{BEF895D0-800F-4A88-A9A1-1EB959DC9F4B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'202312'
AND model_cd = 'ES'</t>
        </r>
      </text>
    </comment>
    <comment ref="M43" authorId="1" shapeId="0" xr:uid="{415A3652-33BB-4867-B882-8F3CD3D68785}">
      <text>
        <r>
          <rPr>
            <b/>
            <sz val="9"/>
            <color indexed="81"/>
            <rFont val="Tahoma"/>
            <family val="2"/>
          </rPr>
          <t>(3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+2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+ 1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>) / 3
*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쿼리는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O43" authorId="1" shapeId="0" xr:uid="{C57B523A-29BE-44F1-B8D2-89225D14113C}">
      <text>
        <r>
          <rPr>
            <b/>
            <sz val="9"/>
            <color indexed="81"/>
            <rFont val="Tahoma"/>
            <family val="2"/>
          </rPr>
          <t>(3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+2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+ 1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>) / 3
*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쿼리는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M45" authorId="1" shapeId="0" xr:uid="{FBA03D3C-03A0-440D-89C7-0FA7F8EF0E42}">
      <text>
        <r>
          <rPr>
            <sz val="11"/>
            <color theme="1"/>
            <rFont val="맑은 고딕"/>
            <family val="2"/>
            <charset val="129"/>
            <scheme val="minor"/>
          </rPr>
          <t>SELECT  B.MODEL_CD, SUM(TARGET_31) AS CNT
FROM  VT_DAILY_SALES_TREND_SHOP A,
  (
            SELECT *
               FROM(
                   SELECT  A.*
                           ,ROW_NUMBER() OVER(PARTITION BY DAILY_REPORT_VARIANT_CD ORDER BY DISPLAY_ORDER) AS RN
                   FROM  VS_VARIANT A
                   WHERE  1=1
--                   AND    A.DAILY_REPORT_YN = 'Y'
               )
            WHERE RN = 1    
        ) B
WHERE 1=1
AND  A.BRAND_CD = B.BRAND_CD
AND  A.MODEL_CD = B.MODEL_CD
AND  A.VARIANT_CD = B.DAILY_REPORT_VARIANT_CD
AND  A.EOD_MONTH = '2022-10'
AND  A.RS_CO_TYPE = 'RS'
AND  A.DEALER_ID = 'DT00000'
AND  B.BRAND_CD = 'L'
AND  B.MODEL_CD = 'ES'
GROUP BY B.MODEL_CD</t>
        </r>
      </text>
    </comment>
    <comment ref="N45" authorId="1" shapeId="0" xr:uid="{B86F0AC7-F1D9-4B7C-B3B8-4500570A4C3B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dms_bi.dms_sales_kpi_resource
WHERE 1=1
AND dms_brand_cd = 'L'
AND dealer_id = 'DT00000'
AND yyyymm = '202310'
AND model_cd = 'ES'</t>
        </r>
      </text>
    </comment>
    <comment ref="O45" authorId="1" shapeId="0" xr:uid="{49DAE395-617D-4B37-8A5C-723F096BFB71}">
      <text>
        <r>
          <rPr>
            <sz val="11"/>
            <color theme="1"/>
            <rFont val="맑은 고딕"/>
            <family val="2"/>
            <charset val="129"/>
            <scheme val="minor"/>
          </rPr>
          <t>select b.model_cd, sum(a.sa_kpi_code_amt) as target_amt
from dms_sales_kpi_resource_day a 
    , dms_co_report_variant_v b
where 1=1
and a.dms_brand_cd = b.dms_brand_cd
and a.report_variant_cd = b.report_variant_cd
and a.dealer_id = 'DT00000'
and a.yyyymmdd like '202210%'
and a.sa_kpi_code_type = 'DMS_BI_SA003'
and a.sa_kpi_code = 'RETAIL_SALES'
and b.model_cd = 'ES'
group by b.model_cd</t>
        </r>
      </text>
    </comment>
    <comment ref="P45" authorId="1" shapeId="0" xr:uid="{F5080E74-30DD-4823-8257-B84B534DED43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'202310'
AND model_cd = 'ES'</t>
        </r>
      </text>
    </comment>
    <comment ref="M46" authorId="1" shapeId="0" xr:uid="{45B813DD-BB96-48D0-AEB6-606EC6036BA1}">
      <text>
        <r>
          <rPr>
            <sz val="11"/>
            <color theme="1"/>
            <rFont val="맑은 고딕"/>
            <family val="2"/>
            <charset val="129"/>
            <scheme val="minor"/>
          </rPr>
          <t>SELECT  B.MODEL_CD, SUM(TARGET_31) AS CNT
FROM  VT_DAILY_SALES_TREND_SHOP A,
  (
            SELECT *
               FROM(
                   SELECT  A.*
                           ,ROW_NUMBER() OVER(PARTITION BY DAILY_REPORT_VARIANT_CD ORDER BY DISPLAY_ORDER) AS RN
                   FROM  VS_VARIANT A
                   WHERE  1=1
                   AND    A.DAILY_REPORT_YN = 'Y'
               )
            WHERE RN = 1    
        ) B
WHERE 1=1
AND  A.BRAND_CD = B.BRAND_CD
AND  A.MODEL_CD = B.MODEL_CD
AND  A.VARIANT_CD = B.DAILY_REPORT_VARIANT_CD
AND  A.EOD_MONTH = '2022-11'
AND  A.RS_CO_TYPE = 'RS'
AND  A.DEALER_ID = 'DT00000'
AND  B.BRAND_CD = 'L'
AND  B.MODEL_CD = 'ES'
GROUP BY B.MODEL_CD</t>
        </r>
      </text>
    </comment>
    <comment ref="N46" authorId="1" shapeId="0" xr:uid="{BBAFA140-F82D-4CF2-8A79-B0E8142BF549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dms_bi.dms_sales_kpi_resource
WHERE 1=1
AND dms_brand_cd = 'L'
AND dealer_id = 'DT00000'
AND yyyymm = '202311'
AND model_cd = 'ES'</t>
        </r>
      </text>
    </comment>
    <comment ref="O46" authorId="1" shapeId="0" xr:uid="{8CA2107F-C0F7-4C09-8686-F6F6F2E03811}">
      <text>
        <r>
          <rPr>
            <sz val="11"/>
            <color theme="1"/>
            <rFont val="맑은 고딕"/>
            <family val="2"/>
            <charset val="129"/>
            <scheme val="minor"/>
          </rPr>
          <t>select b.model_cd, sum(a.sa_kpi_code_amt) as target_amt
from dms_sales_kpi_resource_day a 
    , dms_co_report_variant_v b
where 1=1
and a.dms_brand_cd = b.dms_brand_cd
and a.report_variant_cd = b.report_variant_cd
and a.dealer_id = 'DT00000'
and a.yyyymmdd like '202211%'
and a.sa_kpi_code_type = 'DMS_BI_SA003'
and a.sa_kpi_code = 'RETAIL_SALES'
and b.model_cd = 'ES'
group by b.model_cd</t>
        </r>
      </text>
    </comment>
    <comment ref="P46" authorId="1" shapeId="0" xr:uid="{0A501EE0-F54F-4D85-A341-5B3994E698D1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'202311'
AND model_cd = 'ES'</t>
        </r>
      </text>
    </comment>
    <comment ref="M47" authorId="1" shapeId="0" xr:uid="{6ECE459D-8FF9-4C4C-BED1-27A259A1CEAC}">
      <text>
        <r>
          <rPr>
            <sz val="11"/>
            <color theme="1"/>
            <rFont val="맑은 고딕"/>
            <family val="2"/>
            <charset val="129"/>
            <scheme val="minor"/>
          </rPr>
          <t>SELECT  B.MODEL_CD, SUM(TARGET_31) AS CNT
FROM  VT_DAILY_SALES_TREND_SHOP A,
  (
            SELECT *
               FROM(
                   SELECT  A.*
                           ,ROW_NUMBER() OVER(PARTITION BY DAILY_REPORT_VARIANT_CD ORDER BY DISPLAY_ORDER) AS RN
                   FROM  VS_VARIANT A
                   WHERE  1=1
                   AND    A.DAILY_REPORT_YN = 'Y'
               )
            WHERE RN = 1    
        ) B
WHERE 1=1
AND  A.BRAND_CD = B.BRAND_CD
AND  A.MODEL_CD = B.MODEL_CD
AND  A.VARIANT_CD = B.DAILY_REPORT_VARIANT_CD
AND  A.EOD_MONTH = '2022-12'
AND  A.RS_CO_TYPE = 'RS'
AND  A.DEALER_ID = 'DT00000'
AND  B.BRAND_CD = 'L'
AND  B.MODEL_CD = 'ES'
GROUP BY B.MODEL_CD</t>
        </r>
      </text>
    </comment>
    <comment ref="N47" authorId="1" shapeId="0" xr:uid="{454F6A09-AB4E-460A-B7F7-17DB1383D855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dms_bi.dms_sales_kpi_resource
WHERE 1=1
AND dms_brand_cd = 'L'
AND dealer_id = 'DT00000'
AND yyyymm = '202312'
AND model_cd = 'ES'</t>
        </r>
      </text>
    </comment>
    <comment ref="O47" authorId="1" shapeId="0" xr:uid="{E0A2E77A-BD0B-4CA0-8CE3-75D0C2900BB9}">
      <text>
        <r>
          <rPr>
            <sz val="11"/>
            <color theme="1"/>
            <rFont val="맑은 고딕"/>
            <family val="2"/>
            <charset val="129"/>
            <scheme val="minor"/>
          </rPr>
          <t>select b.model_cd, sum(a.sa_kpi_code_amt) as target_amt
from dms_sales_kpi_resource_day a 
    , dms_co_report_variant_v b
where 1=1
and a.dms_brand_cd = b.dms_brand_cd
and a.report_variant_cd = b.report_variant_cd
and a.dealer_id = 'DT00000'
and a.yyyymmdd like '202212%'
and a.sa_kpi_code_type = 'DMS_BI_SA003'
and a.sa_kpi_code = 'RETAIL_SALES'
and b.model_cd = 'ES'
group by b.model_cd</t>
        </r>
      </text>
    </comment>
    <comment ref="P47" authorId="1" shapeId="0" xr:uid="{A88F9B2A-81DC-4969-99C9-A353CB73A7A0}">
      <text>
        <r>
          <rPr>
            <sz val="11"/>
            <color theme="1"/>
            <rFont val="맑은 고딕"/>
            <family val="2"/>
            <charset val="129"/>
            <scheme val="minor"/>
          </rPr>
          <t>SELECT sa_kpi_code_amt
FROM dms_sales_kpi_resource
WHERE 1=1
AND dms_brand_cd = 'L'
AND dealer_id = 'DT00000'
AND yyyymm = '202312'
AND model_cd = 'ES'</t>
        </r>
      </text>
    </comment>
    <comment ref="M48" authorId="1" shapeId="0" xr:uid="{B9D10E64-6372-4006-9D13-2EF6147CDDBB}">
      <text>
        <r>
          <rPr>
            <b/>
            <sz val="9"/>
            <color indexed="81"/>
            <rFont val="Tahoma"/>
            <family val="2"/>
          </rPr>
          <t>(3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+2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+ 1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>) / 3
*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쿼리는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O48" authorId="1" shapeId="0" xr:uid="{1270C958-14CB-4AB5-BEB7-219DB3DDACA4}">
      <text>
        <r>
          <rPr>
            <b/>
            <sz val="9"/>
            <color indexed="81"/>
            <rFont val="Tahoma"/>
            <family val="2"/>
          </rPr>
          <t>(3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+2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+ 1</t>
        </r>
        <r>
          <rPr>
            <b/>
            <sz val="9"/>
            <color indexed="81"/>
            <rFont val="돋움"/>
            <family val="3"/>
            <charset val="129"/>
          </rPr>
          <t>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>) / 3
*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쿼리는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</text>
    </comment>
    <comment ref="M50" authorId="1" shapeId="0" xr:uid="{EDEDB00F-3EA7-4BD6-93F4-9F5E0B93DD7E}">
      <text>
        <r>
          <rPr>
            <b/>
            <sz val="9"/>
            <color indexed="81"/>
            <rFont val="Tahoma"/>
            <family val="2"/>
          </rPr>
          <t xml:space="preserve">SELECT SUM(A.EX_CNT) AS CNT
FROM SFA_SHOWROOM_DESC A, CO_GROUP B
WHERE 1=1
AND A.DEALER_ID = B.GROUP_ID
AND A.ACTIVE_KND = '02'
AND (A.ACTIVE_KND_DTL IN ('21', '22', '23') OR A.ACTIVE_KND_DTL IS NULL)
AND B.HOLDING_ID = 'DT00000'
AND A.RECEPT_DT BETWEEN '2023-01'||'-01' AND '2023-01-31' </t>
        </r>
      </text>
    </comment>
    <comment ref="O50" authorId="1" shapeId="0" xr:uid="{E41B6D81-B994-4974-8C98-030772832D08}">
      <text>
        <r>
          <rPr>
            <sz val="11"/>
            <color theme="1"/>
            <rFont val="맑은 고딕"/>
            <family val="2"/>
            <charset val="129"/>
            <scheme val="minor"/>
          </rPr>
          <t>select COUNT(*) as CNT
from dms_sales_customer_traffic A, dms_co_group B
where 1=1
and A.dms_brand_cd = B.dms_brand_cd
and A.group_id = B.group_id
and B.yyyymm = '202301'
and A.dms_brand_cd = 'L'
and B.dealer_id = 'DT00000'
and active_knd = '02'
and (active_knd_dtl in ('21', '22', '23') or length(A.active_knd_dtl) &lt; 1)
and RECEPT_DT BETWEEN '20230101' AND '20230131'</t>
        </r>
      </text>
    </comment>
    <comment ref="M51" authorId="1" shapeId="0" xr:uid="{971FDFAD-2C83-430E-934E-86B6433B5FEE}">
      <text>
        <r>
          <rPr>
            <b/>
            <sz val="9"/>
            <color indexed="81"/>
            <rFont val="Tahoma"/>
            <family val="2"/>
          </rPr>
          <t>SELECT A.CNT
FROM (SELECT COUNT(*) AS CNT 
   FROM SFA_TESTCAR_TRIAL A, VS_VARIANT B, CO_GROUP C
      WHERE A.VARIANT_CD = B.VARIANT_CD 
      AND A.DEALER_ID = C.GROUP_ID
      AND A.USE_TYPE = '01' 
      AND A.TEST_TYPE IN ('01', '02')
      AND A.INTEREST_DEGREE IN ('01', '02', '03') 
      AND A.RESERVED_DT BETWEEN '20230101' AND '20230131'
      AND C.HOLDING_ID = 'DT00000') A</t>
        </r>
      </text>
    </comment>
    <comment ref="O51" authorId="1" shapeId="0" xr:uid="{ACE3DD7B-CB35-4368-87B3-2EB95C7CB8E6}">
      <text>
        <r>
          <rPr>
            <b/>
            <sz val="9"/>
            <color indexed="81"/>
            <rFont val="Tahoma"/>
            <family val="2"/>
          </rPr>
          <t>select COUNT(*)
from dms_sales_testdrive A, dms_co_vehic B, dms_co_group C
where 1=1
and A.dms_brand_cd = B.dms_brand_cd
and A.vin = B.vin
and A.dms_brand_cd = C.dms_brand_cd
and A.group_id = C.group_id
and C.yyyymm = '202301'
and a.use_type = '01'
and a.test_type in ('01', '02')
and a.interest_degree in ('01', '02', '03')
and A.reserved_dt between TO_TIMESTAMP('20230101', 'YYYYMMDD') and TO_TIMESTAMP('20230131 23:59:59', 'YYYYMMDD HH24:MI:SS')
and C.dealer_id = 'DT00000'
and A.dms_brand_cd = 'L'</t>
        </r>
      </text>
    </comment>
    <comment ref="M52" authorId="1" shapeId="0" xr:uid="{59598291-CCFA-4CB0-AD88-48B2B341B8A9}">
      <text>
        <r>
          <rPr>
            <b/>
            <sz val="9"/>
            <color indexed="81"/>
            <rFont val="Tahoma"/>
            <family val="2"/>
          </rPr>
          <t xml:space="preserve">SELECT SUM(A.EX_CNT) AS CNT
FROM SFA_SHOWROOM_DESC A, CO_GROUP B
WHERE 1=1
AND A.DEALER_ID = B.GROUP_ID
AND A.ACTIVE_KND = '02'
AND (A.ACTIVE_KND_DTL IN ('21', '22', '23') OR A.ACTIVE_KND_DTL IS NULL)
AND B.HOLDING_ID = 'DT00000'
AND A.RECEPT_DT BETWEEN '2023-01'||'-01' AND '2023-01-31' </t>
        </r>
      </text>
    </comment>
    <comment ref="N52" authorId="1" shapeId="0" xr:uid="{BCC45860-A8EC-4455-B73C-D142E89067CF}">
      <text>
        <r>
          <rPr>
            <b/>
            <sz val="9"/>
            <color indexed="81"/>
            <rFont val="Tahoma"/>
            <family val="2"/>
          </rPr>
          <t>SELECT A.CNT
FROM (SELECT COUNT(*) AS CNT 
   FROM SFA_TESTCAR_TRIAL A, VS_VARIANT B, CO_GROUP C
      WHERE A.VARIANT_CD = B.VARIANT_CD 
      AND A.DEALER_ID = C.GROUP_ID
      AND A.USE_TYPE = '01' 
      AND A.TEST_TYPE IN ('01', '02')
      AND A.INTEREST_DEGREE IN ('01', '02', '03') 
      AND A.RESERVED_DT BETWEEN '20230101' AND '20230131'
      AND C.HOLDING_ID = 'DT00000') A</t>
        </r>
      </text>
    </comment>
    <comment ref="O52" authorId="1" shapeId="0" xr:uid="{4A182DE7-B012-45AB-A8F5-3400516D1BDD}">
      <text>
        <r>
          <rPr>
            <b/>
            <sz val="9"/>
            <color indexed="81"/>
            <rFont val="Tahoma"/>
            <family val="2"/>
          </rPr>
          <t>select COUNT(*) as CNT
from dms_sales_customer_traffic A, dms_co_group B
where 1=1
and A.dms_brand_cd = B.dms_brand_cd
and A.group_id = B.group_id
and B.yyyymm = '202301'
and A.dms_brand_cd = 'L'
and B.dealer_id = 'DT00000'
and active_knd = '02'
and (active_knd_dtl in ('21', '22', '23') or A.active_knd_dtl is null)
and RECEPT_DT BETWEEN '20230101' AND '20230131'</t>
        </r>
      </text>
    </comment>
    <comment ref="P52" authorId="1" shapeId="0" xr:uid="{EC47FD0C-48C2-4F22-955B-9E6BB3FCE4E2}">
      <text>
        <r>
          <rPr>
            <sz val="9"/>
            <color indexed="81"/>
            <rFont val="Tahoma"/>
            <family val="2"/>
          </rPr>
          <t>select COUNT(*)
from dms_sales_testdrive A, dms_co_vehic B, dms_co_group C
where 1=1
and A.dms_brand_cd = B.dms_brand_cd
and A.vin = B.vin
and A.dms_brand_cd = C.dms_brand_cd
and A.group_id = C.group_id
and C.yyyymm = '202301'
and a.use_type = '01'
and a.test_type in ('01', '02')
and a.interest_degree in ('01', '02', '03')
and A.reserved_dt between TO_TIMESTAMP('20230101', 'YYYYMMDD') and TO_TIMESTAMP('20230131 23:59:59', 'YYYYMMDD HH24:MI:SS')
and C.dealer_id = 'DT00000'
and A.dms_brand_cd = 'L'</t>
        </r>
      </text>
    </comment>
    <comment ref="Q52" authorId="1" shapeId="0" xr:uid="{5C477C8A-A5B1-419C-A209-0331885269C6}">
      <text>
        <r>
          <rPr>
            <sz val="9"/>
            <color indexed="81"/>
            <rFont val="Tahoma"/>
            <family val="2"/>
          </rPr>
          <t>select COUNT(*)
from dms_sales_testdrive A, dms_co_vehic B, dms_co_group C
where 1=1
and A.dms_brand_cd = B.dms_brand_cd
and A.vin = B.vin
and A.dms_brand_cd = C.dms_brand_cd
and A.group_id = C.group_id
and C.yyyymm = '202301'
and a.use_type = '01'
and a.test_type in ('01', '02')
and a.interest_degree in ('01', '02', '03')
and A.reserved_dt between TO_TIMESTAMP('20230101', 'YYYYMMDD') and TO_TIMESTAMP('20230131 23:59:59', 'YYYYMMDD HH24:MI:SS')
and C.dealer_id = 'DT00000'
and A.dms_brand_cd = 'L'</t>
        </r>
      </text>
    </comment>
    <comment ref="M54" authorId="1" shapeId="0" xr:uid="{362FABA0-E0EE-4040-91D3-E9DE794312A0}">
      <text>
        <r>
          <rPr>
            <b/>
            <sz val="9"/>
            <color indexed="81"/>
            <rFont val="Tahoma"/>
            <family val="2"/>
          </rPr>
          <t>SELECT A.CNT
FROM (SELECT COUNT(*) AS CNT 
   FROM SFA_TESTCAR_TRIAL A, VS_VARIANT B, CO_GROUP C
      WHERE A.VARIANT_CD = B.VARIANT_CD 
      AND A.DEALER_ID = C.GROUP_ID
      AND A.USE_TYPE = '01' 
      AND A.TEST_TYPE IN ('01', '02')
      AND A.INTEREST_DEGREE IN ('01', '02', '03') 
      AND A.RESERVED_DT BETWEEN '20230101' AND '20230131'
      AND C.HOLDING_ID = 'DT00000') A</t>
        </r>
      </text>
    </comment>
    <comment ref="N54" authorId="0" shapeId="0" xr:uid="{A52C0162-F343-4788-83AF-BD0CAF1F2692}">
      <text>
        <r>
          <rPr>
            <b/>
            <sz val="9"/>
            <color indexed="81"/>
            <rFont val="Tahoma"/>
            <family val="2"/>
          </rPr>
          <t xml:space="preserve">WITH WITH_PARAM AS
(
 SELECT 'DT00000'             AS HOLDING_ID,   -- </t>
        </r>
        <r>
          <rPr>
            <b/>
            <sz val="9"/>
            <color indexed="81"/>
            <rFont val="돋움"/>
            <family val="3"/>
            <charset val="129"/>
          </rPr>
          <t>전체검색</t>
        </r>
        <r>
          <rPr>
            <b/>
            <sz val="9"/>
            <color indexed="81"/>
            <rFont val="Tahoma"/>
            <family val="2"/>
          </rPr>
          <t xml:space="preserve">: NATIONAL
   'NATIONAL'             AS SHOP_CD,    -- </t>
        </r>
        <r>
          <rPr>
            <b/>
            <sz val="9"/>
            <color indexed="81"/>
            <rFont val="돋움"/>
            <family val="3"/>
            <charset val="129"/>
          </rPr>
          <t>전체검색</t>
        </r>
        <r>
          <rPr>
            <b/>
            <sz val="9"/>
            <color indexed="81"/>
            <rFont val="Tahoma"/>
            <family val="2"/>
          </rPr>
          <t xml:space="preserve">: NATIONAL
   'ALL'             AS REPORT_VARIANT_NM, -- </t>
        </r>
        <r>
          <rPr>
            <b/>
            <sz val="9"/>
            <color indexed="81"/>
            <rFont val="돋움"/>
            <family val="3"/>
            <charset val="129"/>
          </rPr>
          <t>전체검색</t>
        </r>
        <r>
          <rPr>
            <b/>
            <sz val="9"/>
            <color indexed="81"/>
            <rFont val="Tahoma"/>
            <family val="2"/>
          </rPr>
          <t xml:space="preserve">: ALL
   TO_CHAR(TODAY, 'YYYY-MM-DD')        AS YYYY_MM_DD,
   TO_CHAR(TODAY, 'YYYY-MM-') || '01'       AS FIRST_YYYY_MM_DD
 FROM  (
   SELECT  TO_DATE('20230131', 'YYYYMMDD') AS TODAY -- </t>
        </r>
        <r>
          <rPr>
            <b/>
            <sz val="9"/>
            <color indexed="81"/>
            <rFont val="돋움"/>
            <family val="3"/>
            <charset val="129"/>
          </rPr>
          <t>오늘날짜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  <r>
          <rPr>
            <b/>
            <sz val="9"/>
            <color indexed="81"/>
            <rFont val="Tahoma"/>
            <family val="2"/>
          </rPr>
          <t xml:space="preserve">   FROM  DUAL
   )
)
SELECT  COUNT(*) AS RS_CNT_MTD
FROM  OM_CONTRACT A, 
  OM_RETAIL_SALES B,
  VS_VARIANT C,
  CO_GROUP CG,
  WITH_PARAM P
WHERE  A.CONTRACT_NO=B.CONTRACT_NO(+) 
AND  A.LAST_RETAIL_SALES_DT=B.RETAIL_SALES_DT(+)
AND  A.BRAND_CD = C.BRAND_CD
AND  A.MODEL_CD = C.MODEL_CD
AND  A.VARIANT_CD = C.VARIANT_CD
AND  A.DEALER_ID = CG.GROUP_ID
AND  A.CONTRACT_DT BETWEEN P.FIRST_YYYY_MM_DD AND P.YYYY_MM_DD
AND  CG.HOLDING_ID = DECODE(P.HOLDING_ID, 'NATIONAL', CG.HOLDING_ID, P.HOLDING_ID) 
AND  C.REPORT_VARIANT_NM = DECODE(P.REPORT_VARIANT_NM, 'ALL', C.REPORT_VARIANT_NM, P.REPORT_VARIANT_NM)</t>
        </r>
      </text>
    </comment>
    <comment ref="O54" authorId="1" shapeId="0" xr:uid="{EE7AB32D-5E76-4F36-B20A-D824078F1C91}">
      <text>
        <r>
          <rPr>
            <sz val="9"/>
            <color indexed="81"/>
            <rFont val="Tahoma"/>
            <family val="2"/>
          </rPr>
          <t>select COUNT(*)
from dms_sales_testdrive A, dms_co_vehic B, dms_co_group C
where 1=1
and A.dms_brand_cd = B.dms_brand_cd
and A.vin = B.vin
and A.dms_brand_cd = C.dms_brand_cd
and A.group_id = C.group_id
and C.yyyymm = '202301'
and a.use_type = '01'
and a.test_type in ('01', '02')
and a.interest_degree in ('01', '02', '03')
and A.reserved_dt between TO_TIMESTAMP('20230101', 'YYYYMMDD') and TO_TIMESTAMP('20230131 23:59:59', 'YYYYMMDD HH24:MI:SS')
and C.dealer_id = 'DT00000'
and A.dms_brand_cd = 'L'</t>
        </r>
      </text>
    </comment>
    <comment ref="P54" authorId="1" shapeId="0" xr:uid="{9A16BD13-9150-4E8D-AAAE-37D0610359CC}">
      <text>
        <r>
          <rPr>
            <b/>
            <sz val="9"/>
            <color indexed="81"/>
            <rFont val="Tahoma"/>
            <family val="2"/>
          </rPr>
          <t>select COUNT(*)
from dms_sales_contract A
where dms_brand_cd = 'L'
and dealer_id = 'DT00000'
and contract_reg_dt between '2023-01-01' and '2023-01-31'</t>
        </r>
      </text>
    </comment>
    <comment ref="Q54" authorId="1" shapeId="0" xr:uid="{16561602-3ED2-4785-86FF-215E4697B779}">
      <text>
        <r>
          <rPr>
            <b/>
            <sz val="9"/>
            <color indexed="81"/>
            <rFont val="Tahoma"/>
            <family val="2"/>
          </rPr>
          <t>select COUNT(*)
from dms_sales_contract A
where dms_brand_cd = 'L'
and dealer_id = 'DT00000'
and contract_reg_dt between '2023-01-01' and '2023-01-31'</t>
        </r>
      </text>
    </comment>
    <comment ref="Q55" authorId="1" shapeId="0" xr:uid="{6592DC93-B00A-4D95-B4F2-F743C3E1FD73}">
      <text>
        <r>
          <rPr>
            <b/>
            <sz val="9"/>
            <color indexed="81"/>
            <rFont val="Tahoma"/>
            <family val="2"/>
          </rPr>
          <t>select COUNT(*)
from dms_sales_contract A
where dms_brand_cd = 'L'
and dealer_id = 'DT00000'
and contract_reg_dt between '2023-01-01' and '2023-01-31'</t>
        </r>
      </text>
    </comment>
    <comment ref="M56" authorId="0" shapeId="0" xr:uid="{E85BF26C-7412-4A02-8980-B76C7123F709}">
      <text>
        <r>
          <rPr>
            <b/>
            <sz val="9"/>
            <color indexed="81"/>
            <rFont val="Tahoma"/>
            <family val="2"/>
          </rPr>
          <t xml:space="preserve">WITH WITH_PARAM AS
(
 SELECT 'DT00000'             AS HOLDING_ID,   -- </t>
        </r>
        <r>
          <rPr>
            <b/>
            <sz val="9"/>
            <color indexed="81"/>
            <rFont val="돋움"/>
            <family val="3"/>
            <charset val="129"/>
          </rPr>
          <t>전체검색</t>
        </r>
        <r>
          <rPr>
            <b/>
            <sz val="9"/>
            <color indexed="81"/>
            <rFont val="Tahoma"/>
            <family val="2"/>
          </rPr>
          <t xml:space="preserve">: NATIONAL
   'NATIONAL'             AS SHOP_CD,    -- </t>
        </r>
        <r>
          <rPr>
            <b/>
            <sz val="9"/>
            <color indexed="81"/>
            <rFont val="돋움"/>
            <family val="3"/>
            <charset val="129"/>
          </rPr>
          <t>전체검색</t>
        </r>
        <r>
          <rPr>
            <b/>
            <sz val="9"/>
            <color indexed="81"/>
            <rFont val="Tahoma"/>
            <family val="2"/>
          </rPr>
          <t xml:space="preserve">: NATIONAL
   'ALL'             AS REPORT_VARIANT_NM, -- </t>
        </r>
        <r>
          <rPr>
            <b/>
            <sz val="9"/>
            <color indexed="81"/>
            <rFont val="돋움"/>
            <family val="3"/>
            <charset val="129"/>
          </rPr>
          <t>전체검색</t>
        </r>
        <r>
          <rPr>
            <b/>
            <sz val="9"/>
            <color indexed="81"/>
            <rFont val="Tahoma"/>
            <family val="2"/>
          </rPr>
          <t xml:space="preserve">: ALL
   TO_CHAR(TODAY, 'YYYY-MM-DD')        AS YYYY_MM_DD,
   TO_CHAR(TODAY, 'YYYY-MM-') || '01'       AS FIRST_YYYY_MM_DD
 FROM  (
   SELECT  TO_DATE('20230131', 'YYYYMMDD') AS TODAY -- </t>
        </r>
        <r>
          <rPr>
            <b/>
            <sz val="9"/>
            <color indexed="81"/>
            <rFont val="돋움"/>
            <family val="3"/>
            <charset val="129"/>
          </rPr>
          <t>오늘날짜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  <r>
          <rPr>
            <b/>
            <sz val="9"/>
            <color indexed="81"/>
            <rFont val="Tahoma"/>
            <family val="2"/>
          </rPr>
          <t xml:space="preserve">   FROM  DUAL
   )
)
SELECT  COUNT(*) AS RS_CNT_MTD
FROM  OM_CONTRACT A, 
  OM_RETAIL_SALES B,
  VS_VARIANT C,
  CO_GROUP CG,
  WITH_PARAM P
WHERE  A.CONTRACT_NO=B.CONTRACT_NO(+) 
AND  A.LAST_RETAIL_SALES_DT=B.RETAIL_SALES_DT(+)
AND  A.BRAND_CD = C.BRAND_CD
AND  A.MODEL_CD = C.MODEL_CD
AND  A.VARIANT_CD = C.VARIANT_CD
AND  A.DEALER_ID = CG.GROUP_ID
AND  A.CONTRACT_DT BETWEEN P.FIRST_YYYY_MM_DD AND P.YYYY_MM_DD
AND  CG.HOLDING_ID = DECODE(P.HOLDING_ID, 'NATIONAL', CG.HOLDING_ID, P.HOLDING_ID) 
AND  C.REPORT_VARIANT_NM = DECODE(P.REPORT_VARIANT_NM, 'ALL', C.REPORT_VARIANT_NM, P.REPORT_VARIANT_NM)</t>
        </r>
      </text>
    </comment>
    <comment ref="N56" authorId="0" shapeId="0" xr:uid="{728BC0B1-A257-485C-9DC0-EBB205019F20}">
      <text>
        <r>
          <rPr>
            <b/>
            <sz val="9"/>
            <color indexed="81"/>
            <rFont val="Tahoma"/>
            <family val="2"/>
          </rPr>
          <t xml:space="preserve">WITH WITH_PARAM AS
(
 SELECT 'DT00000'             AS HOLDING_ID,   -- </t>
        </r>
        <r>
          <rPr>
            <b/>
            <sz val="9"/>
            <color indexed="81"/>
            <rFont val="돋움"/>
            <family val="3"/>
            <charset val="129"/>
          </rPr>
          <t>전체검색</t>
        </r>
        <r>
          <rPr>
            <b/>
            <sz val="9"/>
            <color indexed="81"/>
            <rFont val="Tahoma"/>
            <family val="2"/>
          </rPr>
          <t xml:space="preserve">: NATIONAL
   'NATIONAL'             AS SHOP_CD,    -- </t>
        </r>
        <r>
          <rPr>
            <b/>
            <sz val="9"/>
            <color indexed="81"/>
            <rFont val="돋움"/>
            <family val="3"/>
            <charset val="129"/>
          </rPr>
          <t>전체검색</t>
        </r>
        <r>
          <rPr>
            <b/>
            <sz val="9"/>
            <color indexed="81"/>
            <rFont val="Tahoma"/>
            <family val="2"/>
          </rPr>
          <t xml:space="preserve">: NATIONAL
   'ALL'             AS REPORT_VARIANT_NM, -- </t>
        </r>
        <r>
          <rPr>
            <b/>
            <sz val="9"/>
            <color indexed="81"/>
            <rFont val="돋움"/>
            <family val="3"/>
            <charset val="129"/>
          </rPr>
          <t>전체검색</t>
        </r>
        <r>
          <rPr>
            <b/>
            <sz val="9"/>
            <color indexed="81"/>
            <rFont val="Tahoma"/>
            <family val="2"/>
          </rPr>
          <t xml:space="preserve">: ALL
   TO_CHAR(TODAY, 'YYYYMMDD')        AS YYYYMMDD,
   TO_CHAR(TODAY, 'YYYYMM') || '01'       AS FIRST_YYYYMMDD
 FROM  (
   SELECT  TO_DATE('20230131', 'YYYYMMDD') AS TODAY -- </t>
        </r>
        <r>
          <rPr>
            <b/>
            <sz val="9"/>
            <color indexed="81"/>
            <rFont val="돋움"/>
            <family val="3"/>
            <charset val="129"/>
          </rPr>
          <t>오늘날짜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  <r>
          <rPr>
            <b/>
            <sz val="9"/>
            <color indexed="81"/>
            <rFont val="Tahoma"/>
            <family val="2"/>
          </rPr>
          <t xml:space="preserve">   FROM  DUAL
   )
)
SELECT  COUNT(*) AS RS_CNT_MTD
FROM  OM_CONTRACT A, 
  OM_RETAIL_SALES B,
  VS_VARIANT C,
  CO_GROUP CG,
  WITH_PARAM P
WHERE  A.CONTRACT_NO=B.CONTRACT_NO(+) 
AND  A.LAST_RETAIL_SALES_DT=B.RETAIL_SALES_DT(+)
AND  A.BRAND_CD = C.BRAND_CD
AND  A.MODEL_CD = C.MODEL_CD
AND  A.VARIANT_CD = C.VARIANT_CD
AND  A.DEALER_ID = CG.GROUP_ID
AND  (CANCEL_DT IS NULL OR CANCEL_DT &gt; TO_DATE(P.YYYYMMDD, 'YYYY-MM-DD'))
AND  SUBSTR(LAST_RETAIL_SALES_DT, 0, 10) BETWEEN TO_CHAR(TO_DATE(P.FIRST_YYYYMMDD, 'YYYYMMDD'), 'YYYY-MM-DD HH24:MI:SS') 
AND  TO_CHAR(TO_DATE(P.YYYYMMDD, 'YYYYMMDD'), 'YYYY-MM-DD HH24:MI:SS')
AND  CG.HOLDING_ID = DECODE(P.HOLDING_ID, 'NATIONAL', CG.HOLDING_ID, P.HOLDING_ID) 
AND  C.REPORT_VARIANT_NM = DECODE(P.REPORT_VARIANT_NM, 'ALL', C.REPORT_VARIANT_NM, P.REPORT_VARIANT_NM)
AND  B.PROGRESS_ST='S0'</t>
        </r>
      </text>
    </comment>
    <comment ref="O56" authorId="1" shapeId="0" xr:uid="{9A876C09-3ABA-4032-A62D-18CE702D6CDC}">
      <text>
        <r>
          <rPr>
            <b/>
            <sz val="9"/>
            <color indexed="81"/>
            <rFont val="Tahoma"/>
            <family val="2"/>
          </rPr>
          <t>select COUNT(*)
from dms_sales_contract A
where dms_brand_cd = 'L'
and dealer_id = 'DT00000'
and contract_reg_dt between '2023-01-01' and '2023-01-31'</t>
        </r>
      </text>
    </comment>
    <comment ref="P56" authorId="0" shapeId="0" xr:uid="{4B75BB69-5438-4A9F-AE8C-989619C8CB86}">
      <text>
        <r>
          <rPr>
            <b/>
            <sz val="9"/>
            <color indexed="81"/>
            <rFont val="Tahoma"/>
            <family val="2"/>
          </rPr>
          <t>select COUNT(*)
from dms_sales_contract A, dms_co_group B
where 1=1
and A.dms_brand_cd = B.dms_brand_cd
and A.dealer_id = B.GROUP_ID
and B.yyyymm = '202301'
and A.dms_brand_cd = 'L'
and B.DEALER_ID = 'DT00000'
and retail_sales_dt between TO_DATE('2023-01-01', 'YYYY-MM-DD') and TO_DATE('2023-01-31', 'YYYY-MM-DD')
and (cancel_dt is null or cancel_dt &gt; '2023-01-31')</t>
        </r>
      </text>
    </comment>
    <comment ref="Q56" authorId="1" shapeId="0" xr:uid="{18D6E344-287F-49E4-9ADC-1A5E7AD08B0A}">
      <text>
        <r>
          <rPr>
            <b/>
            <sz val="9"/>
            <color indexed="81"/>
            <rFont val="Tahoma"/>
            <family val="2"/>
          </rPr>
          <t>select COUNT(*)
from dms_sales_contract A
where dms_brand_cd = 'L'
and dealer_id = 'DT00000'
and contract_reg_dt between '2023-01-01' and '2023-01-31'</t>
        </r>
      </text>
    </comment>
    <comment ref="M57" authorId="1" shapeId="0" xr:uid="{A6E893BA-1ED2-4764-BB6F-90DA5CAD7CDD}">
      <text>
        <r>
          <rPr>
            <b/>
            <sz val="9"/>
            <color indexed="81"/>
            <rFont val="Tahoma"/>
            <family val="2"/>
          </rPr>
          <t>SELECT SUM(SA_KPI_CODE_AMT) AS CNT
FROM DMS_BI.DMS_SALES_KPI_RESOURCE_DAY A
    , VS_VARIANT B
WHERE 1=1
AND MON_TARGET_CD = A.REPORT_VARIANT_CD
AND SA_KPI_CODE = 'TEST_DRIVE'
AND B.MODEL_CD = 'ES'
AND A.YYYYMMDD BETWEEN '20230101' AND '20230131'
AND A.DEALER_ID = 'DT00000'</t>
        </r>
      </text>
    </comment>
    <comment ref="O57" authorId="1" shapeId="0" xr:uid="{35366862-8C68-4CF8-89F9-7818154F4BB2}">
      <text>
        <r>
          <rPr>
            <b/>
            <sz val="9"/>
            <color indexed="81"/>
            <rFont val="Tahoma"/>
            <family val="2"/>
          </rPr>
          <t>SELECT sum(sa_kpi_code_amt)
FROM DMS_SALES_KPI_RESOURCE_DAY A
    , dms_co_report_variant_v B
WHERE 1=1
AND a.report_variant_cd = b.REPORT_VARIANT_CD
AND SA_KPI_CODE = 'TEST_DRIVE'
AND B.MODEL_CD = 'ES'
AND A.YYYYMMDD BETWEEN '20230101' AND '20230131'
AND A.DEALER_ID = 'DT00000'</t>
        </r>
      </text>
    </comment>
    <comment ref="M58" authorId="1" shapeId="0" xr:uid="{5D6FD77D-17A2-4983-AA3E-C8A87B594924}">
      <text>
        <r>
          <rPr>
            <b/>
            <sz val="9"/>
            <color indexed="81"/>
            <rFont val="Tahoma"/>
            <family val="2"/>
          </rPr>
          <t>SELECT SUM(SA_KPI_CODE_AMT) AS CNT
FROM DMS_BI.DMS_SALES_KPI_RESOURCE_DAY A
    , VS_VARIANT B
WHERE 1=1
AND MON_TARGET_CD = A.REPORT_VARIANT_CD
AND SA_KPI_CODE = 'TEST_DRIVE'
AND B.MODEL_CD = 'ES'
AND A.YYYYMMDD BETWEEN '20230101' AND '20230115'
AND A.DEALER_ID = 'DT00000'</t>
        </r>
      </text>
    </comment>
    <comment ref="O58" authorId="1" shapeId="0" xr:uid="{49C63181-3EF9-407E-B08B-3DDD7AAB1261}">
      <text>
        <r>
          <rPr>
            <b/>
            <sz val="9"/>
            <color indexed="81"/>
            <rFont val="Tahoma"/>
            <family val="2"/>
          </rPr>
          <t>SELECT SUM(SA_KPI_CODE_AMT) AS CNT
FROM DMS_SALES_KPI_RESOURCE_DAY A
    , dms_co_report_variant_v B
WHERE 1=1
AND a.REPORT_VARIANT_CD = b.REPORT_VARIANT_CD
AND SA_KPI_CODE = 'TEST_DRIVE'
AND B.MODEL_CD = 'ES'
AND A.YYYYMMDD BETWEEN '20230101' AND '20230115'
AND A.DEALER_ID = 'DT00000'</t>
        </r>
      </text>
    </comment>
    <comment ref="M59" authorId="1" shapeId="0" xr:uid="{74826C3B-FDB2-4895-B39C-D649653E4D31}">
      <text>
        <r>
          <rPr>
            <b/>
            <sz val="9"/>
            <color indexed="81"/>
            <rFont val="Tahoma"/>
            <family val="2"/>
          </rPr>
          <t>SELECT A.CNT
FROM (SELECT COUNT(*) AS CNT 
   FROM SFA_TESTCAR_TRIAL A, VS_VARIANT B, CO_GROUP C
      WHERE A.VARIANT_CD = B.VARIANT_CD 
      AND A.DEALER_ID = C.GROUP_ID
      AND A.USE_TYPE = '01' 
      AND A.TEST_TYPE IN ('01', '02')
      AND A.INTEREST_DEGREE IN ('01', '02', '03') 
      AND A.RESERVED_DT BETWEEN '20230101' AND '20230115'
      AND C.HOLDING_ID = 'DT00000'
      AND B.MODEL_CD = 'ES'
) a</t>
        </r>
      </text>
    </comment>
    <comment ref="O59" authorId="1" shapeId="0" xr:uid="{16DD90F5-259D-460D-8060-69007380C54E}">
      <text>
        <r>
          <rPr>
            <b/>
            <sz val="9"/>
            <color indexed="81"/>
            <rFont val="Tahoma"/>
            <family val="2"/>
          </rPr>
          <t>select COUNT(*)
from dms_sales_testdrive A, dms_co_variant_v B, dms_co_group C
where 1=1
and A.dms_brand_cd = b.dms_brand_cd
and a.variant_cd = b.variant_cd
and A.dms_brand_cd = C.dms_brand_cd
and A.group_id = C.group_id
and C.yyyymm = '202301'
and a.use_type = '01'
and a.test_type in ('01', '02')
and a.interest_degree in ('01', '02', '03')
and A.reserved_dt between '20230101' and '20230115'
and C.dealer_id = 'DT00000'
and A.dms_brand_cd = 'L'
and b.model_cd = 'ES'</t>
        </r>
      </text>
    </comment>
    <comment ref="M60" authorId="1" shapeId="0" xr:uid="{6BAB8A2E-1CCE-4716-B987-5FCF03F98318}">
      <text>
        <r>
          <rPr>
            <b/>
            <sz val="9"/>
            <color indexed="81"/>
            <rFont val="Tahoma"/>
            <family val="2"/>
          </rPr>
          <t>SELECT A.CNT
FROM (SELECT COUNT(*) AS CNT 
   FROM SFA_TESTCAR_TRIAL A, VS_VARIANT B, CO_GROUP C
      WHERE A.VARIANT_CD = B.VARIANT_CD 
      AND A.DEALER_ID = C.GROUP_ID
      AND A.USE_TYPE = '01' 
      AND A.TEST_TYPE IN ('01', '02')
      AND A.INTEREST_DEGREE IN ('01', '02', '03') 
      AND A.RESERVED_DT BETWEEN '20230101' AND '20230115'
      AND C.HOLDING_ID = 'DT00000'
      AND B.MODEL_CD = 'ES'
) a</t>
        </r>
      </text>
    </comment>
    <comment ref="N60" authorId="1" shapeId="0" xr:uid="{232F08A5-36FC-4DCC-889F-0C4C38D8F021}">
      <text>
        <r>
          <rPr>
            <b/>
            <sz val="9"/>
            <color indexed="81"/>
            <rFont val="Tahoma"/>
            <family val="2"/>
          </rPr>
          <t>SELECT SUM(SA_KPI_CODE_AMT) AS CNT
FROM DMS_BI.DMS_SALES_KPI_RESOURCE_DAY A
    , VS_VARIANT B
WHERE 1=1
AND MON_TARGET_CD = A.REPORT_VARIANT_CD
AND SA_KPI_CODE = 'TEST_DRIVE'
AND B.MODEL_CD = 'ES'
AND A.YYYYMMDD BETWEEN '20230101' AND '20230115'
AND A.DEALER_ID = 'DT00000'</t>
        </r>
      </text>
    </comment>
    <comment ref="O60" authorId="1" shapeId="0" xr:uid="{A1480D36-E5BE-46CE-BD0B-4E7E71EDB8AD}">
      <text>
        <r>
          <rPr>
            <b/>
            <sz val="9"/>
            <color indexed="81"/>
            <rFont val="Tahoma"/>
            <family val="2"/>
          </rPr>
          <t>select COUNT(*)
from dms_sales_testdrive A, dms_co_variant_v B, dms_co_group C
where 1=1
and A.dms_brand_cd = b.dms_brand_cd
and a.variant_cd = b.variant_cd
and A.dms_brand_cd = C.dms_brand_cd
and A.group_id = C.group_id
and C.yyyymm = '202301'
and a.use_type = '01'
and a.test_type in ('01', '02')
and a.interest_degree in ('01', '02', '03')
and A.reserved_dt between '20230101' and '20230115'
and C.dealer_id = 'DT00000'
and A.dms_brand_cd = 'L'
and b.model_cd = 'ES'</t>
        </r>
      </text>
    </comment>
    <comment ref="P60" authorId="1" shapeId="0" xr:uid="{5F8266FD-8681-4C47-8CA8-38824F95AA64}">
      <text>
        <r>
          <rPr>
            <b/>
            <sz val="9"/>
            <color indexed="81"/>
            <rFont val="Tahoma"/>
            <family val="2"/>
          </rPr>
          <t>SELECT SUM(SA_KPI_CODE_AMT) AS CNT
FROM DMS_SALES_KPI_RESOURCE_DAY A
    , dms_co_report_variant_v B
WHERE 1=1
AND MON_TARGET_CD = A.REPORT_VARIANT_CD
AND SA_KPI_CODE = 'TEST_DRIVE'
AND B.MODEL_CD = 'ES'
AND A.YYYYMMDD BETWEEN '20230101' AND '20230115'
AND A.DEALER_ID = 'DT00000'</t>
        </r>
      </text>
    </comment>
    <comment ref="M61" authorId="0" shapeId="0" xr:uid="{7C79324E-336A-4299-B9B9-9A5FA09EF777}">
      <text>
        <r>
          <rPr>
            <b/>
            <sz val="9"/>
            <color indexed="81"/>
            <rFont val="Tahoma"/>
            <family val="2"/>
          </rPr>
          <t>SELECT SUM(NVL(A.CONTRACT_TARGET_QTY,0)) AS CONTRACT_TARGET_QTY
FROM VT_MONTHLY_TARGET A
    , (SELECT *
       FROM(SELECT  REPORT_VARIANT_NM
                , MON_TARGET_CD
                ,ROW_NUMBER() OVER(PARTITION BY MON_TARGET_CD ORDER BY DISPLAY_ORDER) AS RN
                ,SALES_YN
                ,DAILY_REPORT_YN
            FROM VS_VARIANT A
            WHERE 1=1
       )
       WHERE RN = 1
    ) B
    , CO_GROUP CG
    , VS_VARIANT V
WHERE 1=1
AND A.MON_TARGET_CD = B.MON_TARGET_CD
AND B.MON_TARGET_CD = V.MON_TARGET_CD
AND A.DEALER_ID = CG.GROUP_ID
AND CG.HOLDING_ID = 'DT00000'
AND A.TARGET_YM = '202301'
AND V.MODEL_CD = 'ES'</t>
        </r>
      </text>
    </comment>
    <comment ref="O61" authorId="0" shapeId="0" xr:uid="{16D10691-751E-446D-9E14-7563F5952455}">
      <text>
        <r>
          <rPr>
            <b/>
            <sz val="9"/>
            <color indexed="81"/>
            <rFont val="Tahoma"/>
            <family val="2"/>
          </rPr>
          <t>select SUM(SA_KPI_CODE_AMT)
from dms_sales_kpi_resource_day a
    , dms_co_variant_yyyymm_v b
where 1=1
AND a.dms_brand_cd = b.dms_brand_cd
AND substring(a.yyyymmdd, 1, 6) = yyyymm
AND a.report_variant_cd = b.report_variant_cd
and a.dms_brand_cd = 'L'
and dealer_id = 'DT00000'
and a.yyyymmdd like '202301%'
and a.sa_kpi_code_type = 'DMS_BI_SA003'
and a.sa_kpi_code = 'CONTRACT'
and b.model_cd = 'ES'</t>
        </r>
      </text>
    </comment>
    <comment ref="M62" authorId="0" shapeId="0" xr:uid="{AA7AF4E1-91EE-4D4C-B87E-8E8C53D95B0B}">
      <text>
        <r>
          <rPr>
            <b/>
            <sz val="9"/>
            <color indexed="81"/>
            <rFont val="Tahoma"/>
            <family val="2"/>
          </rPr>
          <t>SELECT SUM(CASE WHEN A.RS_CO_TYPE = 'CO'
                THEN A.CNT
                ELSE 0
           END) AS CO_CNT
FROM (SELECT RS_CO_TYPE
          , BRAND_CD
          , MODEL_CD
          , VARIANT_CD
          , '202301' || SUBSTR(TARGET_DT,-2) AS TARGET_DT
          , CNT       
      FROM (SELECT A.*
            FROM VT_DAILY_SALES_TREND A
                ,(SELECT GROUP_ID, HOLDING_ID FROM CO_GROUP WHERE GROUP_TYPE='S') C
            WHERE 1=1
            AND A.EOD_MONTH = '2023-01'
            AND A.DEALER_ID = C.GROUP_ID(+)
            AND A.DEALER_ID = 'DT00000'
            AND A.DEALER_ID &lt;&gt; '00000'
      )
      UNPIVOT (CNT FOR TARGET_DT IN (
          "TARGET_01","TARGET_02","TARGET_03","TARGET_04","TARGET_05",
          "TARGET_06","TARGET_07","TARGET_08","TARGET_09","TARGET_10",
          "TARGET_11","TARGET_12","TARGET_13","TARGET_14","TARGET_15",
          "TARGET_16","TARGET_17","TARGET_18","TARGET_19","TARGET_20",
          "TARGET_21","TARGET_22","TARGET_23","TARGET_24","TARGET_25",
          "TARGET_26","TARGET_27","TARGET_28","TARGET_29","TARGET_30",
          "TARGET_31"))
    ) A
    ,(SELECT *
      FROM (SELECT A.BRAND_CD
                , A.MODEL_CD
                , REPORT_VARIANT_NM
                , DAILY_REPORT_VARIANT_CD
                , ROW_NUMBER() OVER(PARTITION BY DAILY_REPORT_VARIANT_CD ORDER BY DISPLAY_ORDER) AS RN
            FROM VS_VARIANT A
            WHERE 1=1
            AND MODEL_CD = 'ES')
      WHERE RN = 1) B
WHERE 1=1
AND A.BRAND_CD = B.BRAND_CD
AND A.MODEL_CD = B.MODEL_CD
AND A.VARIANT_CD = B.DAILY_REPORT_VARIANT_CD
AND A.TARGET_DT = '20230115'</t>
        </r>
      </text>
    </comment>
    <comment ref="O62" authorId="0" shapeId="0" xr:uid="{BBA09AC6-3AFC-4A53-A671-813CB4DDCB3E}">
      <text>
        <r>
          <rPr>
            <b/>
            <sz val="9"/>
            <color indexed="81"/>
            <rFont val="Tahoma"/>
            <family val="2"/>
          </rPr>
          <t>select SUM(SA_KPI_CODE_AMT)
from dms_sales_kpi_resource_day a
    , dms_co_variant_yyyymm_v b
where 1=1
AND a.dms_brand_cd = b.dms_brand_cd
AND substring(a.yyyymmdd, 1, 6) = yyyymm
AND a.report_variant_cd = b.report_variant_cd
and a.dms_brand_cd = 'L'
and dealer_id = 'DT00000'
and yyyymmdd between '20230101' and '20230115'
and a.sa_kpi_code_type = 'DMS_BI_SA003'
and a.sa_kpi_code = 'CONTRACT'
and b.model_cd = 'ES'</t>
        </r>
      </text>
    </comment>
    <comment ref="M63" authorId="0" shapeId="0" xr:uid="{F730A82A-77D2-43F4-AC99-35C0BA1DB8BF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BETWEEN '20230101' AND '20230115'
AND CG.HOLDING_ID = 'DT00000'
AND C.MODEL_CD = 'ES'</t>
        </r>
      </text>
    </comment>
    <comment ref="O63" authorId="1" shapeId="0" xr:uid="{5493BA83-D08C-45E5-9C72-B2548837B388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TO_DATE('2023-01-01', 'YYYY-MM-DD') and TO_DATE('2023-01-15', 'YYYY-MM-DD')
and model_cd = 'ES'</t>
        </r>
      </text>
    </comment>
    <comment ref="M64" authorId="0" shapeId="0" xr:uid="{09A75DD5-4EDB-4097-8E06-BF5620B51499}">
      <text>
        <r>
          <rPr>
            <b/>
            <sz val="9"/>
            <color indexed="81"/>
            <rFont val="Tahoma"/>
            <family val="2"/>
          </rPr>
          <t>SELECT SUM(CASE WHEN A.RS_CO_TYPE = 'CO'
                THEN A.CNT
                ELSE 0
           END) AS CO_CNT
FROM (SELECT RS_CO_TYPE
          , BRAND_CD
          , MODEL_CD
          , VARIANT_CD
          , '202301' || SUBSTR(TARGET_DT,-2) AS TARGET_DT
          , CNT       
      FROM (SELECT A.*
            FROM VT_DAILY_SALES_TREND A
                ,(SELECT GROUP_ID, HOLDING_ID FROM CO_GROUP WHERE GROUP_TYPE='S') C
            WHERE 1=1
            AND A.EOD_MONTH = '2023-01'
            AND A.DEALER_ID = C.GROUP_ID(+)
            AND A.DEALER_ID = 'DT00000'
            AND A.DEALER_ID &lt;&gt; '00000'
      )
      UNPIVOT (CNT FOR TARGET_DT IN (
          "TARGET_01","TARGET_02","TARGET_03","TARGET_04","TARGET_05",
          "TARGET_06","TARGET_07","TARGET_08","TARGET_09","TARGET_10",
          "TARGET_11","TARGET_12","TARGET_13","TARGET_14","TARGET_15",
          "TARGET_16","TARGET_17","TARGET_18","TARGET_19","TARGET_20",
          "TARGET_21","TARGET_22","TARGET_23","TARGET_24","TARGET_25",
          "TARGET_26","TARGET_27","TARGET_28","TARGET_29","TARGET_30",
          "TARGET_31"))
    ) A
    ,(SELECT *
      FROM (SELECT A.BRAND_CD
                , A.MODEL_CD
                , REPORT_VARIANT_NM
                , DAILY_REPORT_VARIANT_CD
                , ROW_NUMBER() OVER(PARTITION BY DAILY_REPORT_VARIANT_CD ORDER BY DISPLAY_ORDER) AS RN
            FROM VS_VARIANT A
            WHERE 1=1
            AND MODEL_CD = 'ES')
      WHERE RN = 1) B
WHERE 1=1
AND A.BRAND_CD = B.BRAND_CD
AND A.MODEL_CD = B.MODEL_CD
AND A.VARIANT_CD = B.DAILY_REPORT_VARIANT_CD
AND A.TARGET_DT = '20230115'</t>
        </r>
      </text>
    </comment>
    <comment ref="N64" authorId="0" shapeId="0" xr:uid="{A48EC7E1-5218-40F6-9A23-9E041C28AC9F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BETWEEN '20230101' AND '20230115'
AND CG.HOLDING_ID = 'DT00000'
AND C.MODEL_CD = 'ES'</t>
        </r>
      </text>
    </comment>
    <comment ref="O64" authorId="0" shapeId="0" xr:uid="{739CBDB5-5218-4EDD-9F91-59A4384E4A21}">
      <text>
        <r>
          <rPr>
            <b/>
            <sz val="9"/>
            <color indexed="81"/>
            <rFont val="Tahoma"/>
            <family val="2"/>
          </rPr>
          <t>select SUM(SA_KPI_CODE_AMT)
from dms_sales_kpi_resource_day a
    , dms_co_variant_yyyymm_v b
where 1=1
AND a.dms_brand_cd = b.dms_brand_cd
AND substring(a.yyyymmdd, 1, 6) = yyyymm
AND a.report_variant_cd = b.report_variant_cd
and a.dms_brand_cd = 'L'
and dealer_id = 'DT00000'
and yyyymmdd between '20230101' and '20230115'
and a.sa_kpi_code_type = 'DMS_BI_SA003'
and a.sa_kpi_code = 'CONTRACT'
and b.model_cd = 'ES'</t>
        </r>
      </text>
    </comment>
    <comment ref="P64" authorId="1" shapeId="0" xr:uid="{A62C9AA0-9689-4446-8222-1F77D99F61BF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TO_DATE('2023-01-01', 'YYYY-MM-DD') and TO_DATE('2023-01-15', 'YYYY-MM-DD')
and model_cd = 'ES'</t>
        </r>
      </text>
    </comment>
    <comment ref="M65" authorId="1" shapeId="0" xr:uid="{4437E5F0-F5F4-477A-B894-8A7D69282AE4}">
      <text>
        <r>
          <rPr>
            <b/>
            <sz val="9"/>
            <color indexed="81"/>
            <rFont val="Tahoma"/>
            <family val="2"/>
          </rPr>
          <t>SELECT SUM(SA_KPI_CODE_AMT) AS CNT
FROM DMS_BI.DMS_SALES_KPI_RESOURCE_DAY A
    , VS_VARIANT B
WHERE 1=1
AND MON_TARGET_CD = A.REPORT_VARIANT_CD
AND SA_KPI_CODE = 'TEST_DRIVE'
AND B.MODEL_CD = 'ES'
AND A.YYYYMMDD BETWEEN '20230101' AND '20230131'
AND A.DEALER_ID = 'DT00000'</t>
        </r>
      </text>
    </comment>
    <comment ref="N65" authorId="0" shapeId="0" xr:uid="{08A5A103-69FF-4333-8395-C0A3FCA065D5}">
      <text>
        <r>
          <rPr>
            <b/>
            <sz val="9"/>
            <color indexed="81"/>
            <rFont val="Tahoma"/>
            <family val="2"/>
          </rPr>
          <t>SELECT SUM(NVL(A.CONTRACT_TARGET_QTY,0)) AS CONTRACT_TARGET_QTY
FROM VT_MONTHLY_TARGET A
    , (SELECT *
       FROM(SELECT  REPORT_VARIANT_NM
                , MON_TARGET_CD
                ,ROW_NUMBER() OVER(PARTITION BY MON_TARGET_CD ORDER BY DISPLAY_ORDER) AS RN
                ,SALES_YN
                ,DAILY_REPORT_YN
            FROM VS_VARIANT A
            WHERE 1=1
       )
       WHERE RN = 1
    ) B
    , CO_GROUP CG
    , VS_VARIANT V
WHERE 1=1
AND A.MON_TARGET_CD = B.MON_TARGET_CD
AND B.MON_TARGET_CD = V.MON_TARGET_CD
AND A.DEALER_ID = CG.GROUP_ID
AND CG.HOLDING_ID = 'DT00000'
AND A.TARGET_YM = '202301'
AND V.MODEL_CD = 'ES'</t>
        </r>
      </text>
    </comment>
    <comment ref="O65" authorId="1" shapeId="0" xr:uid="{4ACE5E38-1495-4E73-A5CD-1C34ADCCED60}">
      <text>
        <r>
          <rPr>
            <sz val="11"/>
            <color theme="1"/>
            <rFont val="맑은 고딕"/>
            <family val="2"/>
            <charset val="129"/>
            <scheme val="minor"/>
          </rPr>
          <t>SELECT sum(sa_kpi_code_amt
)
FROM DMS_SALES_KPI_RESOURCE_DAY A
    , dms_co_report_variant_v B
WHERE 1=1
AND a.report_variant_cd = b.REPORT_VARIANT_CD
AND SA_KPI_CODE = 'TEST_DRIVE'
AND B.MODEL_CD = 'ES'
AND A.YYYYMMDD BETWEEN '20230101' AND '20230131'
AND A.DEALER_ID = 'DT00000'</t>
        </r>
      </text>
    </comment>
    <comment ref="P65" authorId="0" shapeId="0" xr:uid="{30CE0DC4-1752-448A-A581-5A345AB7043A}">
      <text>
        <r>
          <rPr>
            <b/>
            <sz val="9"/>
            <color indexed="81"/>
            <rFont val="Tahoma"/>
            <family val="2"/>
          </rPr>
          <t>select SUM(SA_KPI_CODE_AMT)
from dms_sales_kpi_resource_day a
    , dms_co_variant_yyyymm_v b
where 1=1
AND a.dms_brand_cd = b.dms_brand_cd
AND substring(a.yyyymmdd, 1, 6) = yyyymm
AND a.report_variant_cd = b.report_variant_cd
and a.dms_brand_cd = 'L'
and dealer_id = 'DT00000'
and a.yyyymmdd like '202301%'
and a.sa_kpi_code_type = 'DMS_BI_SA003'
and a.sa_kpi_code = 'CONTRACT'
and b.model_cd = 'ES'</t>
        </r>
      </text>
    </comment>
    <comment ref="M66" authorId="1" shapeId="0" xr:uid="{9B0E6219-DF44-4D5C-A334-72B652BA6254}">
      <text>
        <r>
          <rPr>
            <b/>
            <sz val="9"/>
            <color indexed="81"/>
            <rFont val="Tahoma"/>
            <family val="2"/>
          </rPr>
          <t>SELECT SUM(SA_KPI_CODE_AMT) AS CNT
FROM DMS_BI.DMS_SALES_KPI_RESOURCE_DAY A
    , VS_VARIANT B
WHERE 1=1
AND MON_TARGET_CD = A.REPORT_VARIANT_CD
AND SA_KPI_CODE = 'TEST_DRIVE'
AND B.MODEL_CD = 'ES'
AND A.YYYYMMDD BETWEEN '20230101' AND '20230115'
AND A.DEALER_ID = 'DT00000'</t>
        </r>
      </text>
    </comment>
    <comment ref="N66" authorId="0" shapeId="0" xr:uid="{FA182CFB-28AA-4565-9792-856B90850E4F}">
      <text>
        <r>
          <rPr>
            <b/>
            <sz val="9"/>
            <color indexed="81"/>
            <rFont val="Tahoma"/>
            <family val="2"/>
          </rPr>
          <t>SELECT SUM(CASE WHEN A.RS_CO_TYPE = 'CO'
                THEN A.CNT
                ELSE 0
           END) AS CO_CNT
FROM (SELECT RS_CO_TYPE
          , BRAND_CD
          , MODEL_CD
          , VARIANT_CD
          , '202301' || SUBSTR(TARGET_DT,-2) AS TARGET_DT
          , CNT       
      FROM (SELECT A.*
            FROM VT_DAILY_SALES_TREND A
                ,(SELECT GROUP_ID, HOLDING_ID FROM CO_GROUP WHERE GROUP_TYPE='S') C
            WHERE 1=1
            AND A.EOD_MONTH = '2023-01'
            AND A.DEALER_ID = C.GROUP_ID(+)
            AND A.DEALER_ID = 'DT00000'
            AND A.DEALER_ID &lt;&gt; '00000'
      )
      UNPIVOT (CNT FOR TARGET_DT IN (
          "TARGET_01","TARGET_02","TARGET_03","TARGET_04","TARGET_05",
          "TARGET_06","TARGET_07","TARGET_08","TARGET_09","TARGET_10",
          "TARGET_11","TARGET_12","TARGET_13","TARGET_14","TARGET_15",
          "TARGET_16","TARGET_17","TARGET_18","TARGET_19","TARGET_20",
          "TARGET_21","TARGET_22","TARGET_23","TARGET_24","TARGET_25",
          "TARGET_26","TARGET_27","TARGET_28","TARGET_29","TARGET_30",
          "TARGET_31"))
    ) A
    ,(SELECT *
      FROM (SELECT A.BRAND_CD
                , A.MODEL_CD
                , REPORT_VARIANT_NM
                , DAILY_REPORT_VARIANT_CD
                , ROW_NUMBER() OVER(PARTITION BY DAILY_REPORT_VARIANT_CD ORDER BY DISPLAY_ORDER) AS RN
            FROM VS_VARIANT A
            WHERE 1=1
            AND MODEL_CD = 'ES')
      WHERE RN = 1) B
WHERE 1=1
AND A.BRAND_CD = B.BRAND_CD
AND A.MODEL_CD = B.MODEL_CD
AND A.VARIANT_CD = B.DAILY_REPORT_VARIANT_CD
AND A.TARGET_DT = '20230115'</t>
        </r>
      </text>
    </comment>
    <comment ref="O66" authorId="1" shapeId="0" xr:uid="{B07EBEA7-A23A-40C9-BDD7-DE27B4CD35C3}">
      <text>
        <r>
          <rPr>
            <sz val="11"/>
            <color theme="1"/>
            <rFont val="맑은 고딕"/>
            <family val="2"/>
            <charset val="129"/>
            <scheme val="minor"/>
          </rPr>
          <t>SELECT SUM(SA_KPI_CODE_AMT) AS CNT
FROM DMS_SALES_KPI_RESOURCE_DAY A
    , dms_co_report_variant_v B
WHERE 1=1
AND A.REPORT_VARIANT_CD = B.REPORT_VARIANT_CD
AND SA_KPI_CODE = 'TEST_DRIVE'
AND B.MODEL_CD = 'ES'
AND A.YYYYMMDD BETWEEN '20230101' AND '20230115'
AND A.DEALER_ID = 'DT00000'</t>
        </r>
      </text>
    </comment>
    <comment ref="P66" authorId="0" shapeId="0" xr:uid="{1318040E-61A9-4B25-94DA-E873AAB1738B}">
      <text>
        <r>
          <rPr>
            <b/>
            <sz val="9"/>
            <color indexed="81"/>
            <rFont val="Tahoma"/>
            <family val="2"/>
          </rPr>
          <t>select SUM(SA_KPI_CODE_AMT)
from dms_sales_kpi_resource_day a
    , dms_co_variant_yyyymm_v b
where 1=1
AND a.dms_brand_cd = b.dms_brand_cd
AND substring(a.yyyymmdd, 1, 6) = yyyymm
AND a.report_variant_cd = b.report_variant_cd
and a.dms_brand_cd = 'L'
and dealer_id = 'DT00000'
and yyyymmdd between '20230101' and '20230115'
and a.sa_kpi_code_type = 'DMS_BI_SA003'
and a.sa_kpi_code = 'CONTRACT'
and b.model_cd = 'ES'</t>
        </r>
      </text>
    </comment>
    <comment ref="M67" authorId="1" shapeId="0" xr:uid="{5C78834F-EAC1-4F2D-BC07-69E66DA6ADF5}">
      <text>
        <r>
          <rPr>
            <b/>
            <sz val="9"/>
            <color indexed="81"/>
            <rFont val="Tahoma"/>
            <family val="2"/>
          </rPr>
          <t>SELECT A.CNT
FROM (SELECT COUNT(*) AS CNT 
   FROM SFA_TESTCAR_TRIAL A, VS_VARIANT B, CO_GROUP C
      WHERE A.VARIANT_CD = B.VARIANT_CD 
      AND A.DEALER_ID = C.GROUP_ID
      AND A.USE_TYPE = '01' 
      AND A.TEST_TYPE IN ('01', '02')
      AND A.INTEREST_DEGREE IN ('01', '02', '03') 
      AND A.RESERVED_DT BETWEEN '20230101' AND '20230115'
      AND C.HOLDING_ID = 'DT00000'
      AND B.MODEL_CD = 'ES'</t>
        </r>
      </text>
    </comment>
    <comment ref="N67" authorId="0" shapeId="0" xr:uid="{0EF296CE-2E07-4095-B221-A3627E514001}">
      <text>
        <r>
          <rPr>
            <b/>
            <sz val="9"/>
            <color indexed="81"/>
            <rFont val="Tahoma"/>
            <family val="2"/>
          </rPr>
          <t>SELECT COUNT(*) AS CNT_MTD
FROM OM_CONTRACT A
    , VS_VARIANT C
    , CO_GROUP CG
WHERE 1=1
AND A.BRAND_CD = C.BRAND_CD
AND A.MODEL_CD = C.MODEL_CD
AND A.VARIANT_CD = C.VARIANT_CD
AND A.DEALER_ID = CG.GROUP_ID
AND REPLACE(A.CONTRACT_DT, '-', '') BETWEEN '20230101' AND '20230115'
AND CG.HOLDING_ID = 'DT00000'
AND C.MODEL_CD = 'ES'</t>
        </r>
      </text>
    </comment>
    <comment ref="O67" authorId="1" shapeId="0" xr:uid="{A5175448-3483-430B-96C5-211FC52BF3AD}">
      <text>
        <r>
          <rPr>
            <b/>
            <sz val="9"/>
            <color indexed="81"/>
            <rFont val="Tahoma"/>
            <family val="2"/>
          </rPr>
          <t>select COUNT(*)
from dms_sales_testdrive A, dms_co_variant_v B, dms_co_group C
where 1=1
and A.dms_brand_cd = b.dms_brand_cd
and a.variant_cd = b.variant_cd
and A.dms_brand_cd = C.dms_brand_cd
and A.group_id = C.group_id
and C.yyyymm = '202301'
and a.use_type = '01'
and a.test_type in ('01', '02')
and a.interest_degree in ('01', '02', '03')
and A.reserved_dt between '20230101' and '20230115'
and C.dealer_id = 'DT00000'
and A.dms_brand_cd = 'L'
and b.model_cd = 'ES'</t>
        </r>
      </text>
    </comment>
    <comment ref="P67" authorId="1" shapeId="0" xr:uid="{BA6AE70D-A4D8-4912-BFFE-05BC481E06F1}">
      <text>
        <r>
          <rPr>
            <b/>
            <sz val="9"/>
            <color indexed="81"/>
            <rFont val="Tahoma"/>
            <family val="2"/>
          </rPr>
          <t>select count(*)
from dms_sales_contract a
where 1=1
and a.dms_brand_cd = 'L'
and a.dealer_id = 'DT00000'
and a.contract_reg_dt between TO_DATE('2023-01-01', 'YYYY-MM-DD') and TO_DATE('2023-01-15', 'YYYY-MM-DD')
and model_cd = 'ES'</t>
        </r>
      </text>
    </comment>
    <comment ref="M69" authorId="1" shapeId="0" xr:uid="{119BC47F-A9FF-439A-B855-1EE31581A19D}">
      <text>
        <r>
          <rPr>
            <b/>
            <sz val="9"/>
            <color indexed="81"/>
            <rFont val="Tahoma"/>
            <family val="2"/>
          </rPr>
          <t>SELECT SUBSTR(A.EOM_YM,5,2) AS EOM_MONTH,                                   
       SUM(A.LOCAL_STOCK_CNT) AS LOCAL_STOCK_CNT 
FROM OM_EOM A, VS_VARIANT B                            
WHERE 1=1
AND A.BRAND_CD = B.BRAND_CD
AND A.MODEL_CD = B.MODEL_CD
AND A.VARIANT_CD = B.VARIANT_CD
AND A.BRAND_CD = 'L' 
AND A.DEALER_ID IN (SELECT GROUP_ID FROM CO_GROUP WHERE HOLDING_ID = 'DT00000')         
AND A.EOM_YM LIKE '2022'||'%'
GROUP BY A.EOM_YM
HAVING A.EOM_YM = '202212'</t>
        </r>
      </text>
    </comment>
    <comment ref="N69" authorId="0" shapeId="0" xr:uid="{3CD5913D-C46C-4B4B-885F-10741D38CEEA}">
      <text>
        <r>
          <rPr>
            <b/>
            <sz val="9"/>
            <color indexed="81"/>
            <rFont val="Tahoma"/>
            <family val="2"/>
          </rPr>
          <t xml:space="preserve">WITH WITH_PARAM AS
(
 SELECT 'DT00000'             AS HOLDING_ID,
   'NATIONAL'             AS SHOP_CD,
   'ALL'             AS REPORT_VARIANT_NM,
   TO_CHAR(TODAY, 'YYYYMM')        AS YYYYMM
 FROM  (
   SELECT  TO_DATE('20230131', 'YYYYMMDD') AS TODAY
   FROM  DUAL
   )
)
SELECT  SUM(NVL(A.SALES_TARGET_QTY,0)) AS SALES_TARGET_QTY,
  SUM(NVL(A.CONTRACT_TARGET_QTY,0)) AS CONTRACT_TARGET_QTY
FROM VT_MONTHLY_TARGET A,
( SELECT *
 FROM(
   SELECT  REPORT_VARIANT_NM
     ,MON_TARGET_CD
     ,ROW_NUMBER() OVER(PARTITION BY MON_TARGET_CD ORDER BY DISPLAY_ORDER) AS RN
     ,SALES_YN
     ,DAILY_REPORT_YN
   FROM VS_VARIANT A
   WHERE 1=1
  )
 WHERE RN = 1
) B, CO_GROUP CG, WITH_PARAM P
WHERE 1=1
AND A.MON_TARGET_CD = B.MON_TARGET_CD
AND A.DEALER_ID = CG.GROUP_ID
AND CG.HOLDING_ID = DECODE(P.HOLDING_ID, 'NATIONAL', CG.HOLDING_ID, P.HOLDING_ID)
AND A.TARGET_YM = YYYYMM
AND B.REPORT_VARIANT_NM = DECODE(P.REPORT_VARIANT_NM, 'ALL', B.REPORT_VARIANT_NM, P.REPORT_VARIANT_NM)
</t>
        </r>
      </text>
    </comment>
    <comment ref="O69" authorId="1" shapeId="0" xr:uid="{BB0E25E1-13D6-4B53-84F4-A187FA405197}">
      <text>
        <r>
          <rPr>
            <sz val="11"/>
            <color theme="1"/>
            <rFont val="맑은 고딕"/>
            <family val="2"/>
            <charset val="129"/>
            <scheme val="minor"/>
          </rPr>
          <t>select count(*)
from dms_co_vehic A, dms_co_group_v B, 
  (
  select model_cd, variant_cd, report_variant_cd, report_variant_nm 
  from dms_co_variant
  group by model_cd, variant_cd, report_variant_cd, report_variant_nm 
  ) C
where 1=1
and A.model_cd = C.model_cd
and A.variant_cd = C.variant_cd
and A.dms_brand_cd = B.dms_brand_cd 
and A.sales_dealer_id = B.group_id
and A.dms_brand_cd = 'L'
and A.port_in_dt &lt;= to_date('20221231', 'YYYYMMDD')
and (A.retailsales_dt is null or A.retailsales_dt &gt; to_date('20221231', 'YYYYMMDD'))
and A.stock_status not in ('96', '99')
and A.al_status not in ('LO', 'IT')
and A.progress_cd is not null
and B.dealer_id = 'DT00000'</t>
        </r>
      </text>
    </comment>
    <comment ref="P69" authorId="0" shapeId="0" xr:uid="{67E39947-3B2C-4D1E-97E9-729817BBE17C}">
      <text>
        <r>
          <rPr>
            <b/>
            <sz val="9"/>
            <color indexed="81"/>
            <rFont val="Tahoma"/>
            <family val="2"/>
          </rPr>
          <t xml:space="preserve">select SUM(SA_KPI_CODE_AMT)
from dms_sales_kpi_resource_day
where 1=1
and dms_brand_cd = 'L'
and dealer_id = 'DT00000'
and yyyymmdd like '202301%'
and sa_kpi_code_type = 'DMS_BI_SA003'
and sa_kpi_code = 'RETAIL_SALES'
</t>
        </r>
      </text>
    </comment>
    <comment ref="Q69" authorId="0" shapeId="0" xr:uid="{3BA1FDE9-C049-437F-ADD4-378994B5E27A}">
      <text>
        <r>
          <rPr>
            <b/>
            <sz val="9"/>
            <color indexed="81"/>
            <rFont val="Tahoma"/>
            <family val="2"/>
          </rPr>
          <t xml:space="preserve">select SUM(SA_KPI_CODE_AMT)
from dms_sales_kpi_resource_day
where 1=1
and dms_brand_cd = 'L'
and dealer_id = 'DT00000'
and yyyymmdd like '202301%'
and sa_kpi_code_type = 'DMS_BI_SA003'
and sa_kpi_code = 'RETAIL_SALES'
</t>
        </r>
      </text>
    </comment>
    <comment ref="M70" authorId="1" shapeId="0" xr:uid="{77194B1D-47E5-4173-BDDE-A1BD33572EE2}">
      <text>
        <r>
          <rPr>
            <b/>
            <sz val="9"/>
            <color indexed="81"/>
            <rFont val="Tahoma"/>
            <family val="2"/>
          </rPr>
          <t>SELECT SUBSTR(A.EOM_YM,5,2) AS EOM_MONTH,                    
       SUM(A.BOC_CNT) AS BOC_CNT            
FROM OM_EOM A, VS_VARIANT B                            
WHERE 1=1
AND A.BRAND_CD = B.BRAND_CD
AND A.MODEL_CD = B.MODEL_CD
AND A.VARIANT_CD = B.VARIANT_CD
AND A.BRAND_CD = 'L' 
AND A.DEALER_ID IN (SELECT GROUP_ID FROM CO_GROUP WHERE HOLDING_ID = 'DT00000') 
AND A.EOM_YM = '202212'
GROUP BY A.EOM_YM</t>
        </r>
      </text>
    </comment>
    <comment ref="N70" authorId="0" shapeId="0" xr:uid="{BE7F4145-DD23-4E97-A454-86957CE668AE}">
      <text>
        <r>
          <rPr>
            <b/>
            <sz val="9"/>
            <color indexed="81"/>
            <rFont val="Tahoma"/>
            <family val="2"/>
          </rPr>
          <t xml:space="preserve">WITH WITH_PARAM AS
(
 SELECT 'DT00000'             AS HOLDING_ID,
   'NATIONAL'             AS SHOP_CD,
   'ALL'             AS REPORT_VARIANT_NM,
   TO_CHAR(TODAY, 'YYYYMM')        AS YYYYMM
 FROM  (
   SELECT  TO_DATE('20230131', 'YYYYMMDD') AS TODAY
   FROM  DUAL
   )
)
SELECT  SUM(NVL(A.SALES_TARGET_QTY,0)) AS SALES_TARGET_QTY,
  SUM(NVL(A.CONTRACT_TARGET_QTY,0)) AS CONTRACT_TARGET_QTY
FROM VT_MONTHLY_TARGET A,
( SELECT *
 FROM(
   SELECT  REPORT_VARIANT_NM
     ,MON_TARGET_CD
     ,ROW_NUMBER() OVER(PARTITION BY MON_TARGET_CD ORDER BY DISPLAY_ORDER) AS RN
     ,SALES_YN
     ,DAILY_REPORT_YN
   FROM VS_VARIANT A
   WHERE 1=1
  )
 WHERE RN = 1
) B, CO_GROUP CG, WITH_PARAM P
WHERE 1=1
AND A.MON_TARGET_CD = B.MON_TARGET_CD
AND A.DEALER_ID = CG.GROUP_ID
AND CG.HOLDING_ID = DECODE(P.HOLDING_ID, 'NATIONAL', CG.HOLDING_ID, P.HOLDING_ID)
AND A.TARGET_YM = YYYYMM
AND B.REPORT_VARIANT_NM = DECODE(P.REPORT_VARIANT_NM, 'ALL', B.REPORT_VARIANT_NM, P.REPORT_VARIANT_NM)
</t>
        </r>
      </text>
    </comment>
    <comment ref="O70" authorId="1" shapeId="0" xr:uid="{75EAF933-B8BC-4493-A7C0-E07D8809B977}">
      <text>
        <r>
          <rPr>
            <b/>
            <sz val="9"/>
            <color indexed="81"/>
            <rFont val="Tahoma"/>
            <family val="2"/>
          </rPr>
          <t>select count(*) as cnt
from dms_sales_contract A 
  , (
  select model_cd, variant_cd, report_variant_cd, report_variant_nm 
  from dms_co_variant
  group by model_cd, variant_cd, report_variant_cd, report_variant_nm 
  ) C
where 1=1
and A.model_cd = C.model_cd
and A.variant_cd = C.variant_cd
and A.dms_brand_cd = 'L'
and A.contract_reg_dt &lt;= TO_DATE('20221231', 'YYYYMMDD')
and (A.retail_sales_dt is null or A.contract_stat_cd != 'D4' or a.retail_sales_dt &gt; to_date('20221231', 'YYYYMMDD'))
and (a.cancel_dt is null or a.cancel_dt &gt; to_date('20221231', 'YYYYMMDD'))
and a.dealer_id = 'DT00000'</t>
        </r>
      </text>
    </comment>
    <comment ref="P70" authorId="0" shapeId="0" xr:uid="{4B5260C8-6217-4519-94C9-DBBEF8A1FA85}">
      <text>
        <r>
          <rPr>
            <b/>
            <sz val="9"/>
            <color indexed="81"/>
            <rFont val="Tahoma"/>
            <family val="2"/>
          </rPr>
          <t xml:space="preserve">select SUM(SA_KPI_CODE_AMT)
from dms_sales_kpi_resource_day
where 1=1
and dms_brand_cd = 'L'
and dealer_id = 'DT00000'
and yyyymmdd like '202301%'
and sa_kpi_code_type = 'DMS_BI_SA003'
and sa_kpi_code = 'RETAIL_SALES'
</t>
        </r>
      </text>
    </comment>
    <comment ref="Q70" authorId="0" shapeId="0" xr:uid="{63806E7A-739E-4ACF-9E3A-8DCD0EF9FDC7}">
      <text>
        <r>
          <rPr>
            <b/>
            <sz val="9"/>
            <color indexed="81"/>
            <rFont val="Tahoma"/>
            <family val="2"/>
          </rPr>
          <t xml:space="preserve">select SUM(SA_KPI_CODE_AMT)
from dms_sales_kpi_resource_day
where 1=1
and dms_brand_cd = 'L'
and dealer_id = 'DT00000'
and yyyymmdd like '202301%'
and sa_kpi_code_type = 'DMS_BI_SA003'
and sa_kpi_code = 'RETAIL_SALES'
</t>
        </r>
      </text>
    </comment>
    <comment ref="M71" authorId="1" shapeId="0" xr:uid="{2030056C-0F52-419F-A1D8-6C7264219A20}">
      <text>
        <r>
          <rPr>
            <b/>
            <sz val="9"/>
            <color indexed="81"/>
            <rFont val="Tahoma"/>
            <family val="2"/>
          </rPr>
          <t>--N-1 Local Stock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 Stock Month </t>
        </r>
        <r>
          <rPr>
            <b/>
            <sz val="9"/>
            <color indexed="81"/>
            <rFont val="돋움"/>
            <family val="3"/>
            <charset val="129"/>
          </rPr>
          <t>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 xml:space="preserve">
-- N Arrival
SELECT SUBSTR(A.EOM_YM,5,2) AS EOM_MONTH,                    
       SUM(A.BI_CNT) AS BI_CNT
FROM OM_EOM A, VS_VARIANT B                            
WHERE 1=1
AND A.BRAND_CD = B.BRAND_CD
AND A.MODEL_CD = B.MODEL_CD
AND A.VARIANT_CD = B.VARIANT_CD
AND A.BRAND_CD = 'L' 
AND A.DEALER_ID IN (SELECT GROUP_ID FROM CO_GROUP WHERE HOLDING_ID = 'DT00000') 
AND A.EOM_YM = '202301'
GROUP BY A.EOM_YM</t>
        </r>
      </text>
    </comment>
    <comment ref="N71" authorId="0" shapeId="0" xr:uid="{B91F9DB6-0043-4FF3-9766-2F1B9D6F9946}">
      <text>
        <r>
          <rPr>
            <b/>
            <sz val="9"/>
            <color indexed="81"/>
            <rFont val="Tahoma"/>
            <family val="2"/>
          </rPr>
          <t xml:space="preserve">WITH WITH_PARAM AS
(
 SELECT 'DT00000'             AS HOLDING_ID,
   'NATIONAL'             AS SHOP_CD,
   'ALL'             AS REPORT_VARIANT_NM,
   TO_CHAR(TODAY, 'YYYYMM')        AS YYYYMM
 FROM  (
   SELECT  TO_DATE('20230131', 'YYYYMMDD') AS TODAY
   FROM  DUAL
   )
)
SELECT  SUM(NVL(A.SALES_TARGET_QTY,0)) AS SALES_TARGET_QTY,
  SUM(NVL(A.CONTRACT_TARGET_QTY,0)) AS CONTRACT_TARGET_QTY
FROM VT_MONTHLY_TARGET A,
( SELECT *
 FROM(
   SELECT  REPORT_VARIANT_NM
     ,MON_TARGET_CD
     ,ROW_NUMBER() OVER(PARTITION BY MON_TARGET_CD ORDER BY DISPLAY_ORDER) AS RN
     ,SALES_YN
     ,DAILY_REPORT_YN
   FROM VS_VARIANT A
   WHERE 1=1
  )
 WHERE RN = 1
) B, CO_GROUP CG, WITH_PARAM P
WHERE 1=1
AND A.MON_TARGET_CD = B.MON_TARGET_CD
AND A.DEALER_ID = CG.GROUP_ID
AND CG.HOLDING_ID = DECODE(P.HOLDING_ID, 'NATIONAL', CG.HOLDING_ID, P.HOLDING_ID)
AND A.TARGET_YM = YYYYMM
AND B.REPORT_VARIANT_NM = DECODE(P.REPORT_VARIANT_NM, 'ALL', B.REPORT_VARIANT_NM, P.REPORT_VARIANT_NM)
</t>
        </r>
      </text>
    </comment>
    <comment ref="O71" authorId="1" shapeId="0" xr:uid="{4548C57B-AC26-427E-A89D-8DD594082BF2}">
      <text>
        <r>
          <rPr>
            <b/>
            <sz val="9"/>
            <color indexed="81"/>
            <rFont val="Tahoma"/>
            <family val="2"/>
          </rPr>
          <t>select count(*)
from dms_co_vehic A, dms_co_group_v B, 
  (
  select model_cd, variant_cd, report_variant_cd, report_variant_nm 
  from dms_co_variant
  group by model_cd, variant_cd, report_variant_cd, report_variant_nm 
  ) C
where 1=1
and A.model_cd = C.model_cd
and A.variant_cd = C.variant_cd
and A.dms_brand_cd = B.dms_brand_cd 
and A.sales_dealer_id = B.group_id
and A.dms_brand_cd = 'L'
and A.port_in_dt between to_date('20230101', 'YYYYMMDD') and to_date('20230131', 'YYYYMMDD')
and A.progress_cd is not null
and B.dealer_id = 'DT00000'</t>
        </r>
      </text>
    </comment>
    <comment ref="P71" authorId="0" shapeId="0" xr:uid="{17A70D23-85B4-490E-A95E-BECBC277C340}">
      <text>
        <r>
          <rPr>
            <b/>
            <sz val="9"/>
            <color indexed="81"/>
            <rFont val="Tahoma"/>
            <family val="2"/>
          </rPr>
          <t xml:space="preserve">select SUM(SA_KPI_CODE_AMT)
from dms_sales_kpi_resource_day
where 1=1
and dms_brand_cd = 'L'
and dealer_id = 'DT00000'
and yyyymmdd like '202301%'
and sa_kpi_code_type = 'DMS_BI_SA003'
and sa_kpi_code = 'RETAIL_SALES'
</t>
        </r>
      </text>
    </comment>
    <comment ref="Q71" authorId="0" shapeId="0" xr:uid="{37C8576B-BCD5-423E-80EE-0940442C5129}">
      <text>
        <r>
          <rPr>
            <b/>
            <sz val="9"/>
            <color indexed="81"/>
            <rFont val="Tahoma"/>
            <family val="2"/>
          </rPr>
          <t xml:space="preserve">select SUM(SA_KPI_CODE_AMT)
from dms_sales_kpi_resource_day
where 1=1
and dms_brand_cd = 'L'
and dealer_id = 'DT00000'
and yyyymmdd like '202301%'
and sa_kpi_code_type = 'DMS_BI_SA003'
and sa_kpi_code = 'RETAIL_SALES'
</t>
        </r>
      </text>
    </comment>
    <comment ref="M72" authorId="1" shapeId="0" xr:uid="{28E7A658-21FE-47F7-87F0-B27531338BCD}">
      <text>
        <r>
          <rPr>
            <b/>
            <sz val="9"/>
            <color indexed="81"/>
            <rFont val="Tahoma"/>
            <family val="2"/>
          </rPr>
          <t>-- N-1 BOC
SELECT SUBSTR(A.EOM_YM,5,2) AS EOM_MONTH,                    
       SUM(A.BOC_CNT) AS BOC_CNT            
FROM OM_EOM A, VS_VARIANT B                            
WHERE 1=1
AND A.BRAND_CD = B.BRAND_CD
AND A.MODEL_CD = B.MODEL_CD
AND A.VARIANT_CD = B.VARIANT_CD
AND A.BRAND_CD = 'L' 
AND A.DEALER_ID IN (SELECT GROUP_ID FROM CO_GROUP WHERE HOLDING_ID = 'DT00000') 
AND A.EOM_YM = '202212'
GROUP BY A.EOM_YM
-- N Net Contract
SELECT SUBSTR(A.EOM_YM,5,2) AS EOM_MONTH,                    
       SUM(A.CO_CNT) AS BI_CNT
FROM OM_EOM A, VS_VARIANT B                            
WHERE 1=1
AND A.BRAND_CD = B.BRAND_CD
AND A.MODEL_CD = B.MODEL_CD
AND A.VARIANT_CD = B.VARIANT_CD
AND A.BRAND_CD = 'L' 
AND A.DEALER_ID IN (SELECT GROUP_ID FROM CO_GROUP WHERE HOLDING_ID = 'DT00000') 
AND A.EOM_YM = '202301'
GROUP BY A.EOM_YM</t>
        </r>
      </text>
    </comment>
    <comment ref="N72" authorId="0" shapeId="0" xr:uid="{D2870C43-4CF4-41C0-901F-0BE7E306C2D2}">
      <text>
        <r>
          <rPr>
            <b/>
            <sz val="9"/>
            <color indexed="81"/>
            <rFont val="Tahoma"/>
            <family val="2"/>
          </rPr>
          <t xml:space="preserve">WITH WITH_PARAM AS
(
 SELECT 'DT00000'             AS HOLDING_ID,
   'NATIONAL'             AS SHOP_CD,
   'ALL'             AS REPORT_VARIANT_NM,
   TO_CHAR(TODAY, 'YYYYMM')        AS YYYYMM
 FROM  (
   SELECT  TO_DATE('20230131', 'YYYYMMDD') AS TODAY
   FROM  DUAL
   )
)
SELECT  SUM(NVL(A.SALES_TARGET_QTY,0)) AS SALES_TARGET_QTY,
  SUM(NVL(A.CONTRACT_TARGET_QTY,0)) AS CONTRACT_TARGET_QTY
FROM VT_MONTHLY_TARGET A,
( SELECT *
 FROM(
   SELECT  REPORT_VARIANT_NM
     ,MON_TARGET_CD
     ,ROW_NUMBER() OVER(PARTITION BY MON_TARGET_CD ORDER BY DISPLAY_ORDER) AS RN
     ,SALES_YN
     ,DAILY_REPORT_YN
   FROM VS_VARIANT A
   WHERE 1=1
  )
 WHERE RN = 1
) B, CO_GROUP CG, WITH_PARAM P
WHERE 1=1
AND A.MON_TARGET_CD = B.MON_TARGET_CD
AND A.DEALER_ID = CG.GROUP_ID
AND CG.HOLDING_ID = DECODE(P.HOLDING_ID, 'NATIONAL', CG.HOLDING_ID, P.HOLDING_ID)
AND A.TARGET_YM = YYYYMM
AND B.REPORT_VARIANT_NM = DECODE(P.REPORT_VARIANT_NM, 'ALL', B.REPORT_VARIANT_NM, P.REPORT_VARIANT_NM)
</t>
        </r>
      </text>
    </comment>
    <comment ref="O72" authorId="1" shapeId="0" xr:uid="{655B40BA-E509-47A7-B2DE-8ED7B26F0B72}">
      <text>
        <r>
          <rPr>
            <b/>
            <sz val="9"/>
            <color indexed="81"/>
            <rFont val="Tahoma"/>
            <family val="2"/>
          </rPr>
          <t>-- N-1 BOC
select count(*) as cnt
from dms_sales_contract A, 
  (
  select model_cd, variant_cd, report_variant_cd, report_variant_nm 
  from dms_co_variant
  group by model_cd, variant_cd, report_variant_cd, report_variant_nm 
  ) C
where 1=1
and A.model_cd = C.model_cd
and A.variant_cd = C.variant_cd
and A.dms_brand_cd = 'L'
and A.contract_reg_dt &lt;= TO_DATE('20221231', 'YYYYMMDD')
and (A.retail_sales_dt is null or A.contract_stat_cd != 'D4' or a.retail_sales_dt &gt; to_date('20221231', 'YYYYMMDD'))
and (a.cancel_dt is null or a.cancel_dt &gt; to_date('20221231', 'YYYYMMDD'))
and a.dealer_id = 'DT00000'
-- N Net Contract
select count(*) as co_cnt
from dms_sales_contract A
where 1=1
and TO_CHAR(A.contract_reg_dt, 'YYYYMMDD') like '202301%'
and a.dealer_id = 'DT00000'</t>
        </r>
      </text>
    </comment>
    <comment ref="P72" authorId="0" shapeId="0" xr:uid="{EF44B956-54CB-41AA-87DA-D7037578440B}">
      <text>
        <r>
          <rPr>
            <b/>
            <sz val="9"/>
            <color indexed="81"/>
            <rFont val="Tahoma"/>
            <family val="2"/>
          </rPr>
          <t xml:space="preserve">select SUM(SA_KPI_CODE_AMT)
from dms_sales_kpi_resource_day
where 1=1
and dms_brand_cd = 'L'
and dealer_id = 'DT00000'
and yyyymmdd like '202301%'
and sa_kpi_code_type = 'DMS_BI_SA003'
and sa_kpi_code = 'RETAIL_SALES'
</t>
        </r>
      </text>
    </comment>
    <comment ref="Q72" authorId="0" shapeId="0" xr:uid="{F8AB2A1D-3D83-4B32-AB5F-44BC1204CC7F}">
      <text>
        <r>
          <rPr>
            <b/>
            <sz val="9"/>
            <color indexed="81"/>
            <rFont val="Tahoma"/>
            <family val="2"/>
          </rPr>
          <t xml:space="preserve">select SUM(SA_KPI_CODE_AMT)
from dms_sales_kpi_resource_day
where 1=1
and dms_brand_cd = 'L'
and dealer_id = 'DT00000'
and yyyymmdd like '202301%'
and sa_kpi_code_type = 'DMS_BI_SA003'
and sa_kpi_code = 'RETAIL_SALES'
</t>
        </r>
      </text>
    </comment>
    <comment ref="M73" authorId="1" shapeId="0" xr:uid="{A4D631A5-BBAA-43F5-B594-8CC3682B050F}">
      <text>
        <r>
          <rPr>
            <b/>
            <sz val="9"/>
            <color indexed="81"/>
            <rFont val="Tahoma"/>
            <family val="2"/>
          </rPr>
          <t>SELECT SUBSTR(A.EOM_YM,5,2) AS EOM_MONTH,                    
       SUM(A.BOC_CNT) AS BOC_CNT            
FROM OM_EOM A, VS_VARIANT B                            
WHERE 1=1
AND A.BRAND_CD = B.BRAND_CD
AND A.MODEL_CD = B.MODEL_CD
AND A.VARIANT_CD = B.VARIANT_CD
AND A.BRAND_CD = 'L' 
AND A.DEALER_ID IN (SELECT GROUP_ID FROM CO_GROUP WHERE HOLDING_ID = 'DT00000') 
AND A.EOM_YM = '202212'
GROUP BY A.EOM_YM</t>
        </r>
      </text>
    </comment>
    <comment ref="N73" authorId="1" shapeId="0" xr:uid="{ACF721E3-F50F-420E-8404-9DDB2DC6FFE8}">
      <text>
        <r>
          <rPr>
            <b/>
            <sz val="9"/>
            <color indexed="81"/>
            <rFont val="Tahoma"/>
            <family val="2"/>
          </rPr>
          <t>SELECT SUBSTR(A.EOM_YM,5,2) AS EOM_MONTH,                    
       SUM(A.CO_CANCEL_CNT) AS CO_CANCEL_CNT
FROM OM_EOM A, VS_VARIANT B                            
WHERE 1=1
AND A.BRAND_CD = B.BRAND_CD
AND A.MODEL_CD = B.MODEL_CD
AND A.VARIANT_CD = B.VARIANT_CD
AND A.BRAND_CD = 'L' 
AND A.DEALER_ID IN (SELECT GROUP_ID FROM CO_GROUP WHERE HOLDING_ID = 'DT00000') 
AND A.EOM_YM = '202301'
GROUP BY A.EOM_YM</t>
        </r>
      </text>
    </comment>
    <comment ref="O73" authorId="1" shapeId="0" xr:uid="{AB0BBF03-97AD-4B29-BB0F-0DC4BDB97A1C}">
      <text>
        <r>
          <rPr>
            <b/>
            <sz val="9"/>
            <color indexed="81"/>
            <rFont val="Tahoma"/>
            <family val="2"/>
          </rPr>
          <t>select count(*) as cnt
from dms_sales_contract A 
  , (
  select model_cd, variant_cd, report_variant_cd, report_variant_nm 
  from dms_co_variant
  group by model_cd, variant_cd, report_variant_cd, report_variant_nm 
  ) C
where 1=1
and A.model_cd = C.model_cd
and A.variant_cd = C.variant_cd
and A.dms_brand_cd = 'L'
and A.contract_reg_dt &lt;= TO_DATE('20221231', 'YYYYMMDD')
and (A.retail_sales_dt is null or A.contract_stat_cd != 'D4' or a.retail_sales_dt &gt; to_date('20221231', 'YYYYMMDD'))
and (a.cancel_dt is null or a.cancel_dt &gt; to_date('20221231', 'YYYYMMDD'))
and a.dealer_id = 'DT00000'</t>
        </r>
      </text>
    </comment>
    <comment ref="P73" authorId="1" shapeId="0" xr:uid="{19BDB659-445D-4413-9534-6877EB39F6CD}">
      <text>
        <r>
          <rPr>
            <b/>
            <sz val="9"/>
            <color indexed="81"/>
            <rFont val="Tahoma"/>
            <family val="2"/>
          </rPr>
          <t>select count(*) as cnt
from dms_sales_contract A, dms_co_group B, 
  (
  select model_cd, variant_cd, report_variant_cd, report_variant_nm 
  from dms_co_variant
  group by model_cd, variant_cd, report_variant_cd, report_variant_nm 
  ) C
where 1=1
and A.model_cd = C.model_cd
and A.variant_cd = C.variant_cd
and A.dms_brand_cd = B.dms_brand_cd 
and A.group_id = B.group_id
and B.yyyymm = '202212'
and A.dms_brand_cd = 'L'
and to_char(a.cancel_dt, 'YYYYMMDD') like '202301%'
and a.dealer_id = 'DT00000'</t>
        </r>
      </text>
    </comment>
    <comment ref="Q73" authorId="1" shapeId="0" xr:uid="{465DE72D-CBA2-410C-8C80-72F2B156CE14}">
      <text>
        <r>
          <rPr>
            <b/>
            <sz val="9"/>
            <color indexed="81"/>
            <rFont val="Tahoma"/>
            <family val="2"/>
          </rPr>
          <t>select count(*) as cnt
from dms_sales_contract A, dms_co_group B, 
  (
  select model_cd, variant_cd, report_variant_cd, report_variant_nm 
  from dms_co_variant
  group by model_cd, variant_cd, report_variant_cd, report_variant_nm 
  ) C
where 1=1
and A.model_cd = C.model_cd
and A.variant_cd = C.variant_cd
and A.dms_brand_cd = B.dms_brand_cd 
and A.group_id = B.group_id
and B.yyyymm = '202212'
and A.dms_brand_cd = 'L'
and to_char(a.cancel_dt, 'YYYYMMDD') like '202301%'
and a.dealer_id = 'DT00000'</t>
        </r>
      </text>
    </comment>
    <comment ref="M74" authorId="1" shapeId="0" xr:uid="{2278394E-9E2B-4203-B352-9E808F546085}">
      <text>
        <r>
          <rPr>
            <b/>
            <sz val="9"/>
            <color indexed="81"/>
            <rFont val="Tahoma"/>
            <family val="2"/>
          </rPr>
          <t xml:space="preserve">SELECT  SUM(CASE WHEN (PORT_IN_ADT BETWEEN TO_CHAR(ADD_MONTHS(TO_DATE('2023-01-31','YYYY-MM-DD'), -1),'YYYY-MM-DD') AND '2023-01-31' 
   AND (RETAILSALES_ADT IS NULL OR RETAILSALES_ADT &gt; '2023-01-31')) THEN 1 ELSE 0 END) AS CNT
FROM  VT_VEHIC_SUPPLY A, VS_VARIANT B, CO_GROUP CG
WHERE  1=1
AND  A.BRAND_CD = B.BRAND_CD
AND  A.MODEL_CD = B.MODEL_CD
AND  A.VARIANT_CD = B.VARIANT_CD
AND  A.DEALER_ID = CG.GROUP_ID
AND  STOCK_STATUS NOT IN ('96', '99')   
AND  AL_STATUS NOT IN ('LO', 'IT')
AND  CG.HOLDING_ID = 'DT00000'
</t>
        </r>
      </text>
    </comment>
    <comment ref="O74" authorId="1" shapeId="0" xr:uid="{578F270E-611B-460A-A04C-2A98FFE99B5F}">
      <text>
        <r>
          <rPr>
            <sz val="11"/>
            <color theme="1"/>
            <rFont val="맑은 고딕"/>
            <family val="2"/>
            <charset val="129"/>
            <scheme val="minor"/>
          </rPr>
          <t>select count(*) as cnt
from dms_co_vehic a, dms_co_group_v b,
   (
   select model_cd, variant_cd, report_variant_cd, report_variant_nm 
   from dms_co_variant
   group by model_cd, variant_cd, report_variant_cd, report_variant_nm 
   ) c, dms_sales_contract d
where 1=1
and a.dms_brand_cd = b.dms_brand_cd
and b.group_id = d.group_id
and a.model_cd = c.model_cd
and a.variant_cd = c.variant_cd
and a.vin = d.vin
and a.dms_brand_cd = 'L'
and b.dealer_id = 'DT00000'
and a.port_in_dt BETWEEN to_date('20230131', 'YYYYMMDD') - (interval '1' month) 
and to_date('20230131', 'YYYYMMDD')
and (a.retailsales_dt is null or a.retailsales_dt &gt; to_date('20230131', 'YYYYMMDD'))
and a.stock_status not in ('96', '99')
and a.al_status not in ('LO', 'IT')
and a.progress_cd is not null</t>
        </r>
      </text>
    </comment>
    <comment ref="Q74" authorId="1" shapeId="0" xr:uid="{AA2D0E1E-CD48-4707-A6DA-016D1711B64C}">
      <text>
        <r>
          <rPr>
            <sz val="11"/>
            <color theme="1"/>
            <rFont val="맑은 고딕"/>
            <family val="2"/>
            <charset val="129"/>
            <scheme val="minor"/>
          </rPr>
          <t>select count(*) as cnt
from dms_co_vehic a, dms_co_group_v b,
   (
   select model_cd, variant_cd, report_variant_cd, report_variant_nm 
   from dms_co_variant
   group by model_cd, variant_cd, report_variant_cd, report_variant_nm 
   ) c, dms_sales_contract d
where 1=1
and a.dms_brand_cd = b.dms_brand_cd
and b.group_id = d.group_id
and a.model_cd = c.model_cd
and a.variant_cd = c.variant_cd
and a.vin = d.vin
and a.dms_brand_cd = 'L'
and b.dealer_id = 'DT00000'
and a.port_in_dt BETWEEN to_date('20230131', 'YYYYMMDD') - (interval '1' month) 
and to_date('20230131', 'YYYYMMDD')
and (a.retailsales_dt is null or a.retailsales_dt &gt; to_date('20230131', 'YYYYMMDD'))
and a.stock_status not in ('96', '99')
and a.al_status not in ('LO', 'IT')
and a.progress_cd is not null</t>
        </r>
      </text>
    </comment>
    <comment ref="M75" authorId="1" shapeId="0" xr:uid="{2680ED9B-C29A-4116-8A0A-A9DA5A912E8E}">
      <text>
        <r>
          <rPr>
            <b/>
            <sz val="9"/>
            <color indexed="81"/>
            <rFont val="Tahoma"/>
            <family val="2"/>
          </rPr>
          <t>SELECT  SUM(CASE WHEN (PORT_IN_ADT BETWEEN TO_CHAR(ADD_MONTHS(TO_DATE('2023-01-31','YYYY-MM-DD'), -3),'YYYY-MM-DD') 
      AND TO_CHAR(ADD_MONTHS(TO_DATE('2023-01-31', 'YYYY-MM-DD'), -1) -1, 'YYYY-MM-DD') 
   AND (RETAILSALES_ADT IS NULL OR RETAILSALES_ADT &gt; '2023-01-31')) THEN 1 ELSE 0 END) AS CNT
FROM  VT_VEHIC_SUPPLY A, VS_VARIANT B, CO_GROUP CG
WHERE  1=1
AND  A.BRAND_CD = B.BRAND_CD
AND  A.MODEL_CD = B.MODEL_CD
AND  A.VARIANT_CD = B.VARIANT_CD
AND  A.DEALER_ID = CG.GROUP_ID
AND  STOCK_STATUS NOT IN ('96', '99')   
AND  AL_STATUS NOT IN ('LO', 'IT')
AND  CG.HOLDING_ID = 'DT00000'</t>
        </r>
      </text>
    </comment>
    <comment ref="O75" authorId="1" shapeId="0" xr:uid="{AA7C7504-1E9D-4A67-8E99-5DCE89224052}">
      <text>
        <r>
          <rPr>
            <b/>
            <sz val="9"/>
            <color indexed="81"/>
            <rFont val="Tahoma"/>
            <family val="2"/>
          </rPr>
          <t>select count(*) as cnt
from dms_co_vehic a, dms_co_group_v b,
   (
   select model_cd, variant_cd, report_variant_cd, report_variant_nm 
   from dms_co_variant
   group by model_cd, variant_cd, report_variant_cd, report_variant_nm 
   ) c, dms_sales_contract d
where 1=1
and a.dms_brand_cd = b.dms_brand_cd
and b.group_id = d.group_id
and a.model_cd = c.model_cd
and a.variant_cd = c.variant_cd
and a.vin = d.vin
and a.dms_brand_cd = 'L'
and b.dealer_id = 'DT00000'
and a.port_in_dt BETWEEN to_date('20230131', 'YYYYMMDD') - (interval '3' month) 
and to_date('20230131', 'YYYYMMDD') - (interval '1' month) - (interval '1' day)
and (a.retailsales_dt is null or a.retailsales_dt &gt; to_date('20230131', 'YYYYMMDD'))
and a.stock_status not in ('96', '99')
and a.al_status not in ('LO', 'IT')
and a.progress_cd is not null</t>
        </r>
      </text>
    </comment>
    <comment ref="M76" authorId="1" shapeId="0" xr:uid="{1114FCB9-557A-4634-9CC0-B5F38DF7F861}">
      <text>
        <r>
          <rPr>
            <b/>
            <sz val="9"/>
            <color indexed="81"/>
            <rFont val="Tahoma"/>
            <family val="2"/>
          </rPr>
          <t>SELECT  SUM(CASE WHEN (PORT_IN_ADT BETWEEN TO_CHAR(ADD_MONTHS(TO_DATE('2023-01-31','YYYY-MM-DD'), -6),'YYYY-MM-DD') 
      AND TO_CHAR(ADD_MONTHS(TO_DATE('2023-01-31', 'YYYY-MM-DD'), -1) -4, 'YYYY-MM-DD') 
   AND (RETAILSALES_ADT IS NULL OR RETAILSALES_ADT &gt; '2023-01-31')) THEN 1 ELSE 0 END) AS CNT
FROM  VT_VEHIC_SUPPLY A, VS_VARIANT B, CO_GROUP CG
WHERE  1=1
AND  A.BRAND_CD = B.BRAND_CD
AND  A.MODEL_CD = B.MODEL_CD
AND  A.VARIANT_CD = B.VARIANT_CD
AND  A.DEALER_ID = CG.GROUP_ID
AND  STOCK_STATUS NOT IN ('96', '99')   
AND  AL_STATUS NOT IN ('LO', 'IT')
AND  CG.HOLDING_ID = 'DT00000'</t>
        </r>
      </text>
    </comment>
    <comment ref="O76" authorId="1" shapeId="0" xr:uid="{415A7402-3925-4D65-BFDB-3CCE1AAA53CB}">
      <text>
        <r>
          <rPr>
            <b/>
            <sz val="9"/>
            <color indexed="81"/>
            <rFont val="Tahoma"/>
            <family val="2"/>
          </rPr>
          <t>select count(*) as cnt
from dms_co_vehic a, dms_co_group_v b,
   (
   select model_cd, variant_cd, report_variant_cd, report_variant_nm 
   from dms_co_variant
   group by model_cd, variant_cd, report_variant_cd, report_variant_nm 
   ) c, dms_sales_contract d
where 1=1
and a.dms_brand_cd = b.dms_brand_cd
and b.group_id = d.group_id
and a.model_cd = c.model_cd
and a.variant_cd = c.variant_cd
and a.vin = d.vin
and a.dms_brand_cd = 'L'
and b.dealer_id = 'DT00000'
and a.port_in_dt BETWEEN to_date('20230131', 'YYYYMMDD') - (interval '6' month) 
and to_date('20230131', 'YYYYMMDD') - (interval '3' month) - (interval '1' day)
and (a.retailsales_dt is null or a.retailsales_dt &gt; to_date('20230131', 'YYYYMMDD'))
and a.stock_status not in ('96', '99')
and a.al_status not in ('LO', 'IT')
and a.progress_cd is not null</t>
        </r>
      </text>
    </comment>
    <comment ref="M77" authorId="1" shapeId="0" xr:uid="{200D355F-7CE6-4F22-9B9F-2B02603B6FA0}">
      <text>
        <r>
          <rPr>
            <b/>
            <sz val="9"/>
            <color indexed="81"/>
            <rFont val="Tahoma"/>
            <family val="2"/>
          </rPr>
          <t>SELECT  SUM(CASE WHEN (PORT_IN_ADT &lt; TO_CHAR(ADD_MONTHS(TO_DATE('2023-01-31','YYYY-MM-DD'), -6),'YYYY-MM-DD') 
   AND (RETAILSALES_ADT IS NULL OR RETAILSALES_ADT &gt; '2023-01-31')) THEN 1 ELSE 0 END) AS CNT
FROM  VT_VEHIC_SUPPLY A, VS_VARIANT B, CO_GROUP CG
WHERE  1=1
AND  A.BRAND_CD = B.BRAND_CD
AND  A.MODEL_CD = B.MODEL_CD
AND  A.VARIANT_CD = B.VARIANT_CD
AND  A.DEALER_ID = CG.GROUP_ID
AND  STOCK_STATUS NOT IN ('96', '99')   
AND  AL_STATUS NOT IN ('LO', 'IT')
AND  CG.HOLDING_ID = 'DT00000'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7" authorId="1" shapeId="0" xr:uid="{835DB4B9-4761-4C28-A5E1-B863AC852948}">
      <text>
        <r>
          <rPr>
            <b/>
            <sz val="9"/>
            <color indexed="81"/>
            <rFont val="Tahoma"/>
            <family val="2"/>
          </rPr>
          <t>select count(*) as cnt
from dms_co_vehic a, dms_co_group_v b,
   (
   select model_cd, variant_cd, report_variant_cd, report_variant_nm 
   from dms_co_variant
   group by model_cd, variant_cd, report_variant_cd, report_variant_nm 
   ) c, dms_sales_contract d
where 1=1
and a.dms_brand_cd = b.dms_brand_cd
and b.group_id = d.group_id
and a.model_cd = c.model_cd
and a.variant_cd = c.variant_cd
and a.vin = d.vin
and a.dms_brand_cd = 'L'
and d.dealer_id = 'DT00000'
and a.port_in_dt &lt; to_date('20230131', 'YYYYMMDD') - (interval '6' month) 
and (a.retailsales_dt is null or a.retailsales_dt &gt; to_date('20230131', 'YYYYMMDD'))
and a.stock_status not in ('96', '99')
and a.al_status not in ('LO', 'IT')
and a.progress_cd is not null</t>
        </r>
      </text>
    </comment>
    <comment ref="M78" authorId="1" shapeId="0" xr:uid="{FD913CB6-AB07-4088-ABDC-634AB4FC4B62}">
      <text>
        <r>
          <rPr>
            <b/>
            <sz val="9"/>
            <color indexed="81"/>
            <rFont val="Tahoma"/>
            <family val="2"/>
          </rPr>
          <t>SELECT COUNT(*) AS CNT
FROM OM_CONTRACT A, VS_VARIANT B, CO_GROUP C
WHERE 1=1 
AND A.BRAND_CD = B.BRAND_CD
AND A.MODEL_CD = B.MODEL_CD
AND A.VARIANT_CD = B.VARIANT_CD
AND A.DEALER_ID = C.GROUP_ID
AND A.CONTRACT_DT BETWEEN TO_CHAR(ADD_MONTHS(TO_DATE('20230131', 'YYYY-MM-DD'), -1), 'YYYY-MM-DD') AND TO_CHAR(ADD_MONTHS(TO_DATE('20230131', 'YYYY-MM-DD'), 0), 'YYYY-MM-DD')
AND A.LAST_RETAIL_SALES_DT IS NOT NULL
AND A.CONTRACT_STAT_CD = 'D4'
AND A.LAST_RETAIL_SALES_DT BETWEEN TO_CHAR(ADD_MONTHS(TO_DATE('20230131', 'YYYYMMDD') + 1, -1), 'YYYY-MM-DD') AND '2023-01-31 23:59:59'
AND C.HOLDING_ID = 'DT00000'</t>
        </r>
      </text>
    </comment>
    <comment ref="O78" authorId="1" shapeId="0" xr:uid="{F1017BC6-A66B-457D-AB6C-F86DBBF81D3F}">
      <text>
        <r>
          <rPr>
            <b/>
            <sz val="9"/>
            <color indexed="81"/>
            <rFont val="Tahoma"/>
            <family val="2"/>
          </rPr>
          <t>select count(*) as cnt
from(
 select a.contract_no, a.variant_cd
 from dms_sales_contract a, dms_co_group_v b
  where 1=1
  and a.dms_brand_cd = b.dms_brand_cd
  and a.group_id = b.group_id
  and a.dms_brand_cd = 'L'
  and b.dealer_id = 'DT00000'
  and a.contract_reg_dt between to_date('20230131', 'YYYYMMDD') - (interval '1' month) and to_date('20230131', 'YYYYMMDD') - (interval '0' month)
  and a.retail_sales_dt is not null
  and a.contract_stat_cd = 'D4'
  and a.retail_sales_dt between to_date('20230101', 'YYYYMMDD') and to_date('20230131', 'YYYYMMDD')
 ) a left outer join
 dms_co_variant_v c on (a.variant_cd = c.variant_cd)</t>
        </r>
      </text>
    </comment>
    <comment ref="M79" authorId="1" shapeId="0" xr:uid="{7FB2C058-0C6C-469F-A11F-309FAB32A150}">
      <text>
        <r>
          <rPr>
            <b/>
            <sz val="9"/>
            <color indexed="81"/>
            <rFont val="Tahoma"/>
            <family val="2"/>
          </rPr>
          <t>SELECT COUNT(*) AS CNT
FROM OM_CONTRACT A, VS_VARIANT B, CO_GROUP C
WHERE 1=1 
AND A.BRAND_CD = B.BRAND_CD
AND A.MODEL_CD = B.MODEL_CD
AND A.VARIANT_CD = B.VARIANT_CD
AND A.DEALER_ID = C.GROUP_ID
AND A.CONTRACT_DT BETWEEN TO_CHAR(ADD_MONTHS(TO_DATE('20230131', 'YYYY-MM-DD'), -3), 'YYYY-MM-DD') AND TO_CHAR(ADD_MONTHS(TO_DATE('20230131', 'YYYY-MM-DD'), -1) -1, 'YYYY-MM-DD')
AND A.LAST_RETAIL_SALES_DT IS NOT NULL
AND A.CONTRACT_STAT_CD = 'D4'
AND A.LAST_RETAIL_SALES_DT BETWEEN TO_CHAR(ADD_MONTHS(TO_DATE('20230131', 'YYYYMMDD') + 1, -1), 'YYYY-MM-DD') AND '2023-01-31 23:59:59'
AND C.HOLDING_ID = 'DT00000'</t>
        </r>
      </text>
    </comment>
    <comment ref="O79" authorId="1" shapeId="0" xr:uid="{32B55F01-9D80-4018-A76D-4F30B0D96968}">
      <text>
        <r>
          <rPr>
            <b/>
            <sz val="9"/>
            <color indexed="81"/>
            <rFont val="Tahoma"/>
            <family val="2"/>
          </rPr>
          <t xml:space="preserve">select count(*) as cnt
from(
 select a.contract_no, a.variant_cd
 from dms_sales_contract a, dms_co_group_v b
  where 1=1
  and a.dms_brand_cd = b.dms_brand_cd
  and a.group_id = b.group_id
  and a.dms_brand_cd = 'L'
  and b.dealer_id = 'DT00000'
  and a.contract_reg_dt between to_date('20230131', 'YYYYMMDD') - (interval '3' month) and to_date('20230131', 'YYYYMMDD') - (interval '1' month) - (interval '1' day)
  and a.retail_sales_dt is not null
  and a.contract_stat_cd = 'D4'
  and a.retail_sales_dt between to_date('20230101', 'YYYYMMDD') and to_date('20230131', 'YYYYMMDD')
 ) a left outer join
 dms_co_variant_v c on (a.variant_cd = c.variant_cd)
</t>
        </r>
      </text>
    </comment>
    <comment ref="M80" authorId="1" shapeId="0" xr:uid="{091689CB-3AE0-42B3-8A1D-C07354BAD372}">
      <text>
        <r>
          <rPr>
            <b/>
            <sz val="9"/>
            <color indexed="81"/>
            <rFont val="Tahoma"/>
            <family val="2"/>
          </rPr>
          <t>SELECT COUNT(*) AS CNT
FROM OM_CONTRACT A, VS_VARIANT B, CO_GROUP C
WHERE 1=1 
AND A.BRAND_CD = B.BRAND_CD
AND A.MODEL_CD = B.MODEL_CD
AND A.VARIANT_CD = B.VARIANT_CD
AND A.DEALER_ID = C.GROUP_ID
AND A.CONTRACT_DT BETWEEN TO_CHAR(ADD_MONTHS(TO_DATE('20230131', 'YYYY-MM-DD'), -6), 'YYYY-MM-DD') AND TO_CHAR(ADD_MONTHS(TO_DATE('20230131', 'YYYY-MM-DD'), -3) -1, 'YYYY-MM-DD')
AND A.LAST_RETAIL_SALES_DT IS NOT NULL
AND A.CONTRACT_STAT_CD = 'D4'
AND A.LAST_RETAIL_SALES_DT BETWEEN TO_CHAR(ADD_MONTHS(TO_DATE('20230131', 'YYYYMMDD') + 1, -1), 'YYYY-MM-DD') AND '2023-01-31 23:59:59'
AND C.HOLDING_ID = 'DT00000'</t>
        </r>
      </text>
    </comment>
    <comment ref="O80" authorId="1" shapeId="0" xr:uid="{BC054B15-B255-4247-B174-7ED7B978C87C}">
      <text>
        <r>
          <rPr>
            <b/>
            <sz val="9"/>
            <color indexed="81"/>
            <rFont val="Tahoma"/>
            <family val="2"/>
          </rPr>
          <t>select count(*) as cnt
from(
 select a.contract_no, a.variant_cd
 from dms_sales_contract a, dms_co_group_v b
  where 1=1
  and a.dms_brand_cd = b.dms_brand_cd
  and a.group_id = b.group_id
  and a.dms_brand_cd = 'L'
  and b.dealer_id = 'DT00000'
  and a.contract_reg_dt between to_date('20230131', 'YYYYMMDD') - (interval '6' month) and to_date('20230131', 'YYYYMMDD') - (interval '3' month) - (interval '1' day)
  and a.retail_sales_dt is not null
  and a.contract_stat_cd = 'D4'
  and a.retail_sales_dt between to_date('20230101', 'YYYYMMDD') and to_date('20230131', 'YYYYMMDD')
 ) a left outer join
 dms_co_variant_v c on (a.variant_cd = c.variant_cd)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1" authorId="1" shapeId="0" xr:uid="{F50A68C4-86A7-4D38-BA86-8073E2AC5370}">
      <text>
        <r>
          <rPr>
            <b/>
            <sz val="9"/>
            <color indexed="81"/>
            <rFont val="Tahoma"/>
            <family val="2"/>
          </rPr>
          <t>SELECT COUNT(*) AS CNT
FROM OM_CONTRACT A, VS_VARIANT B, CO_GROUP C
WHERE 1=1 
AND A.BRAND_CD = B.BRAND_CD
AND A.MODEL_CD = B.MODEL_CD
AND A.VARIANT_CD = B.VARIANT_CD
AND A.DEALER_ID = C.GROUP_ID
AND A.CONTRACT_DT &lt; TO_CHAR(ADD_MONTHS(TO_DATE('20230131', 'YYYY-MM-DD'), -6), 'YYYY-MM-DD')
AND A.LAST_RETAIL_SALES_DT IS NOT NULL
AND A.CONTRACT_STAT_CD = 'D4'
AND A.LAST_RETAIL_SALES_DT BETWEEN TO_CHAR(ADD_MONTHS(TO_DATE('20230131', 'YYYYMMDD') + 1, -1), 'YYYY-MM-DD') AND '2023-01-31 23:59:59'
AND C.HOLDING_ID = 'DT00000'</t>
        </r>
      </text>
    </comment>
    <comment ref="O81" authorId="1" shapeId="0" xr:uid="{A0A7369F-147E-4E08-A393-6F503D3F6625}">
      <text>
        <r>
          <rPr>
            <b/>
            <sz val="9"/>
            <color indexed="81"/>
            <rFont val="Tahoma"/>
            <family val="2"/>
          </rPr>
          <t>select count(*) as cnt
from(
 select a.contract_no, a.variant_cd
 from dms_sales_contract a, dms_co_group_v b
  where 1=1
  and a.dms_brand_cd = b.dms_brand_cd
  and a.group_id = b.group_id
  and a.dms_brand_cd = 'L'
  and b.dealer_id = 'DT00000'
  and a.contract_reg_dt &lt; to_date('20230131', 'YYYYMMDD') - (interval '6' month)
  and a.retail_sales_dt is not null
  and a.contract_stat_cd = 'D4'
  and a.retail_sales_dt between to_date('20230101', 'YYYYMMDD') and to_date('20230131', 'YYYYMMDD')
 ) a left outer join
 dms_co_variant_v c on (a.variant_cd = c.variant_cd)</t>
        </r>
      </text>
    </comment>
    <comment ref="M82" authorId="1" shapeId="0" xr:uid="{203E4ADB-B887-4F47-BA1A-AF1200D6CB78}">
      <text>
        <r>
          <rPr>
            <b/>
            <sz val="9"/>
            <color indexed="81"/>
            <rFont val="Tahoma"/>
            <family val="2"/>
          </rPr>
          <t>SELECT COUNT(*) AS CNT
FROM OM_CONTRACT A, VS_VARIANT B, CO_GROUP C
WHERE 1=1 
AND A.BRAND_CD = B.BRAND_CD
AND A.MODEL_CD = B.MODEL_CD
AND A.VARIANT_CD = B.VARIANT_CD
AND A.DEALER_ID = C.GROUP_ID
AND A.CONTRACT_DT BETWEEN TO_CHAR(ADD_MONTHS(TO_DATE('20230131', 'YYYY-MM-DD'), -1), 'YYYY-MM-DD') AND TO_CHAR(ADD_MONTHS(TO_DATE('20230131', 'YYYY-MM-DD'), 0), 'YYYY-MM-DD')
AND (A.LAST_RETAIL_SALES_DT IS NULL OR A.CONTRACT_STAT_CD &lt;&gt; 'D4' OR A.LAST_RETAIL_SALES_DT &gt; '2023-01-31' || ' 23:59:59')
AND (A.CANCEL_DT IS NULL OR A.CANCEL_DT &gt; TO_DATE('20230131' || ' 23:59:59', 'YYYY-MM-DD HH24:MI:SS')) 
AND C.HOLDING_ID = 'DT00000'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2" authorId="1" shapeId="0" xr:uid="{11D30DB3-E872-4686-ACA7-1D152ACBC5E3}">
      <text>
        <r>
          <rPr>
            <b/>
            <sz val="9"/>
            <color indexed="81"/>
            <rFont val="Tahoma"/>
            <family val="2"/>
          </rPr>
          <t>select count(*) as cnt
from(
 select a.contract_no, a.variant_cd
 from dms_sales_contract a, dms_co_group_v b
 where 1=1
 and a.dms_brand_cd = b.dms_brand_cd
 and a.group_id = b.group_id
 and a.dms_brand_cd = 'L'
 and a.contract_reg_dt between to_date('20230131', 'YYYYMMDD') - (interval '1' month) and to_date('20230131', 'YYYYMMDD') - (interval '0' month)
 and (a.retail_sales_dt is null or a.contract_stat_cd &lt;&gt; 'D4' or a.retail_sales_dt &gt; to_date('20230131', 'YYYYMMDD'))
 and (a.cancel_dt is null or a.cancel_dt &gt; to_date('20230131', 'YYYYMMDD'))
 and b.dealer_id = 'DT00000'
) a left outer join
dms_co_variant_v c on (a.variant_cd = c.variant_cd)</t>
        </r>
      </text>
    </comment>
    <comment ref="M83" authorId="1" shapeId="0" xr:uid="{FAE363DD-55E9-49F5-99BE-E10245F1CF4D}">
      <text>
        <r>
          <rPr>
            <b/>
            <sz val="9"/>
            <color indexed="81"/>
            <rFont val="Tahoma"/>
            <family val="2"/>
          </rPr>
          <t>SELECT COUNT(*) AS CNT
FROM OM_CONTRACT A, VS_VARIANT B, CO_GROUP C
WHERE 1=1 
AND A.BRAND_CD = B.BRAND_CD
AND A.MODEL_CD = B.MODEL_CD
AND A.VARIANT_CD = B.VARIANT_CD
AND A.DEALER_ID = C.GROUP_ID
AND A.CONTRACT_DT BETWEEN TO_CHAR(ADD_MONTHS(TO_DATE('20230131', 'YYYY-MM-DD'), -3), 'YYYY-MM-DD') AND TO_CHAR(ADD_MONTHS(TO_DATE('20230131', 'YYYY-MM-DD'), -1) -1, 'YYYY-MM-DD')
AND (A.LAST_RETAIL_SALES_DT IS NULL OR A.CONTRACT_STAT_CD &lt;&gt; 'D4' OR A.LAST_RETAIL_SALES_DT &gt; '2023-01-31' || ' 23:59:59')
AND (A.CANCEL_DT IS NULL OR A.CANCEL_DT &gt; TO_DATE('20230131' || ' 23:59:59', 'YYYY-MM-DD HH24:MI:SS')) 
AND C.HOLDING_ID = 'DT00000'</t>
        </r>
      </text>
    </comment>
    <comment ref="O83" authorId="1" shapeId="0" xr:uid="{5E23F0F9-84AD-44DA-B91C-0AE7F00CFF18}">
      <text>
        <r>
          <rPr>
            <b/>
            <sz val="9"/>
            <color indexed="81"/>
            <rFont val="Tahoma"/>
            <family val="2"/>
          </rPr>
          <t>select count(*) as cnt
from(
 select a.contract_no, a.variant_cd
 from dms_sales_contract a, dms_co_group_v b
 where 1=1
 and a.dms_brand_cd = b.dms_brand_cd
 and a.group_id = b.group_id
 and a.dms_brand_cd = 'L'
 and a.contract_reg_dt between to_date('20230131', 'YYYYMMDD') - (interval '3' month) and to_date('20230131', 'YYYYMMDD') - (interval '1' month) - (interval '1' day)
 and (a.retail_sales_dt is null or a.contract_stat_cd &lt;&gt; 'D4' or a.retail_sales_dt &gt; to_date('20230131', 'YYYYMMDD'))
 and (a.cancel_dt is null or a.cancel_dt &gt; to_date('20230131', 'YYYYMMDD'))
 and b.dealer_id = 'DT00000'
) a left outer join
dms_co_variant_v c on (a.variant_cd = c.variant_cd)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4" authorId="1" shapeId="0" xr:uid="{45FD5FDF-F266-446F-AF8F-1CB019A0AD6D}">
      <text>
        <r>
          <rPr>
            <b/>
            <sz val="9"/>
            <color indexed="81"/>
            <rFont val="Tahoma"/>
            <family val="2"/>
          </rPr>
          <t>SELECT COUNT(*) AS CNT
FROM OM_CONTRACT A, VS_VARIANT B, CO_GROUP C
WHERE 1=1 
AND A.BRAND_CD = B.BRAND_CD
AND A.MODEL_CD = B.MODEL_CD
AND A.VARIANT_CD = B.VARIANT_CD
AND A.DEALER_ID = C.GROUP_ID
AND A.CONTRACT_DT BETWEEN TO_CHAR(ADD_MONTHS(TO_DATE('20230131', 'YYYY-MM-DD'), -6), 'YYYY-MM-DD') AND TO_CHAR(ADD_MONTHS(TO_DATE('20230131', 'YYYY-MM-DD'), -3) -1, 'YYYY-MM-DD')
AND (A.LAST_RETAIL_SALES_DT IS NULL OR A.CONTRACT_STAT_CD &lt;&gt; 'D4' OR A.LAST_RETAIL_SALES_DT &gt; '2023-01-31' || ' 23:59:59')
AND (A.CANCEL_DT IS NULL OR A.CANCEL_DT &gt; TO_DATE('20230131' || ' 23:59:59', 'YYYY-MM-DD HH24:MI:SS')) 
AND C.HOLDING_ID = 'DT00000'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4" authorId="1" shapeId="0" xr:uid="{1086374D-3628-48CA-824C-8337790E5B95}">
      <text>
        <r>
          <rPr>
            <b/>
            <sz val="9"/>
            <color indexed="81"/>
            <rFont val="Tahoma"/>
            <family val="2"/>
          </rPr>
          <t>select count(*) as cnt
from(
 select a.contract_no, a.variant_cd
 from dms_sales_contract a, dms_co_group_v b
 where 1=1
 and a.dms_brand_cd = b.dms_brand_cd
 and a.group_id = b.group_id
 and a.dms_brand_cd = 'L'
 and a.contract_reg_dt between to_date('20230131', 'YYYYMMDD') - (interval '6' month) and to_date('20230131', 'YYYYMMDD') - (interval '3' month) - (interval '1' day)
 and (a.retail_sales_dt is null or a.contract_stat_cd &lt;&gt; 'D4' or a.retail_sales_dt &gt; to_date('20230131', 'YYYYMMDD'))
 and (a.cancel_dt is null or a.cancel_dt &gt; to_date('20230131', 'YYYYMMDD'))
 and b.dealer_id = 'DT00000'
) a left outer join
dms_co_variant_v c on (a.variant_cd = c.variant_cd)</t>
        </r>
      </text>
    </comment>
    <comment ref="M85" authorId="1" shapeId="0" xr:uid="{9B3D5155-0F04-4344-9F6E-E1C09C29C744}">
      <text>
        <r>
          <rPr>
            <b/>
            <sz val="9"/>
            <color indexed="81"/>
            <rFont val="Tahoma"/>
            <family val="2"/>
          </rPr>
          <t>SELECT COUNT(*) AS CNT
FROM OM_CONTRACT A, VS_VARIANT B, CO_GROUP C
WHERE 1=1 
AND A.BRAND_CD = B.BRAND_CD
AND A.MODEL_CD = B.MODEL_CD
AND A.VARIANT_CD = B.VARIANT_CD
AND A.DEALER_ID = C.GROUP_ID
AND A.CONTRACT_DT &lt; TO_CHAR(ADD_MONTHS(TO_DATE('20230131', 'YYYY-MM-DD'), -6), 'YYYY-MM-DD')
AND (A.LAST_RETAIL_SALES_DT IS NULL OR A.CONTRACT_STAT_CD &lt;&gt; 'D4' OR A.LAST_RETAIL_SALES_DT &gt; '2023-01-31' || ' 23:59:59')
AND (A.CANCEL_DT IS NULL OR A.CANCEL_DT &gt; TO_DATE('20230131' || ' 23:59:59', 'YYYY-MM-DD HH24:MI:SS')) 
AND C.HOLDING_ID = 'DT00000'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5" authorId="1" shapeId="0" xr:uid="{0A9F99A9-FC85-4E7C-9A9C-3C810E38D687}">
      <text>
        <r>
          <rPr>
            <b/>
            <sz val="9"/>
            <color indexed="81"/>
            <rFont val="Tahoma"/>
            <family val="2"/>
          </rPr>
          <t>select count(*) as cnt
from(
 select a.contract_no, a.variant_cd
 from dms_sales_contract a, dms_co_group_v b
 where 1=1
 and a.dms_brand_cd = b.dms_brand_cd
 and a.group_id = b.group_id
 and a.dms_brand_cd = 'L'
 and a.contract_reg_dt &lt; to_date('20230131', 'YYYYMMDD') - (interval '6' month)
 and (a.retail_sales_dt is null or a.contract_stat_cd &lt;&gt; 'D4' or a.retail_sales_dt &gt; to_date('20230131', 'YYYYMMDD'))
 and (a.cancel_dt is null or a.cancel_dt &gt; to_date('20230131', 'YYYYMMDD'))
 and b.dealer_id = 'DT00000'
) a left outer join
dms_co_variant_v c on (a.variant_cd = c.variant_cd)</t>
        </r>
      </text>
    </comment>
    <comment ref="M86" authorId="0" shapeId="0" xr:uid="{360B7224-9FC6-484F-A496-74FA1F29B17B}">
      <text>
        <r>
          <rPr>
            <b/>
            <sz val="9"/>
            <color indexed="81"/>
            <rFont val="Tahoma"/>
            <family val="2"/>
          </rPr>
          <t xml:space="preserve">/* Y </t>
        </r>
        <r>
          <rPr>
            <b/>
            <sz val="9"/>
            <color indexed="81"/>
            <rFont val="돋움"/>
            <family val="3"/>
            <charset val="129"/>
          </rPr>
          <t>휴일</t>
        </r>
        <r>
          <rPr>
            <b/>
            <sz val="9"/>
            <color indexed="81"/>
            <rFont val="Tahoma"/>
            <family val="2"/>
          </rPr>
          <t xml:space="preserve">, N </t>
        </r>
        <r>
          <rPr>
            <b/>
            <sz val="9"/>
            <color indexed="81"/>
            <rFont val="돋움"/>
            <family val="3"/>
            <charset val="129"/>
          </rPr>
          <t>평일</t>
        </r>
        <r>
          <rPr>
            <b/>
            <sz val="9"/>
            <color indexed="81"/>
            <rFont val="Tahoma"/>
            <family val="2"/>
          </rPr>
          <t xml:space="preserve"> */
SELECT CO_KPI_CODE_AMT
FROM DMS_BI.DMS_CO_KPI_RESOURCE
WHERE 1=1
AND DMS_BRAND_CD = 'L'
AND YYYYMMDD = '20230101'
AND CO_KPI_CODE = 'WORK_KOREA'</t>
        </r>
      </text>
    </comment>
    <comment ref="O86" authorId="0" shapeId="0" xr:uid="{099466D7-5E61-452B-81FE-80B903F82E36}">
      <text>
        <r>
          <rPr>
            <b/>
            <sz val="9"/>
            <color indexed="81"/>
            <rFont val="Tahoma"/>
            <family val="2"/>
          </rPr>
          <t>select co_kpi_code_amt
from dms_co_kpi_resource
where 1=1
and dms_brand_cd = 'L'
and yyyymmdd = '20230101'
and co_kpi_code = 'WORK_KOREA'</t>
        </r>
      </text>
    </comment>
    <comment ref="M87" authorId="0" shapeId="0" xr:uid="{A19AFCDC-CC0F-4B62-968C-EAE65ED67FBC}">
      <text>
        <r>
          <rPr>
            <b/>
            <sz val="9"/>
            <color indexed="81"/>
            <rFont val="Tahoma"/>
            <family val="2"/>
          </rPr>
          <t>SELECT CO_KPI_CODE_AMT
FROM DMS_BI.DMS_CO_KPI_RESOURCE
WHERE 1=1
AND DMS_BRAND_CD = 'L'
AND YYYYMMDD = '20230101'
AND CO_KPI_CODE = 'CONTRACT_RATIO'</t>
        </r>
      </text>
    </comment>
    <comment ref="O87" authorId="0" shapeId="0" xr:uid="{55FBAAD2-FF58-4281-BDDE-ACEEAA3102BB}">
      <text>
        <r>
          <rPr>
            <b/>
            <sz val="9"/>
            <color indexed="81"/>
            <rFont val="Tahoma"/>
            <family val="2"/>
          </rPr>
          <t>select co_kpi_code_amt
from dms_co_kpi_resource
where 1=1
and dms_brand_cd = 'L'
and yyyymmdd = '20230101'
and co_kpi_code = 'CONTRACT_RATIO'</t>
        </r>
      </text>
    </comment>
    <comment ref="M88" authorId="0" shapeId="0" xr:uid="{B8CF9C0C-D43E-4F2B-8DBC-27FDD7139DED}">
      <text>
        <r>
          <rPr>
            <b/>
            <sz val="9"/>
            <color indexed="81"/>
            <rFont val="Tahoma"/>
            <family val="2"/>
          </rPr>
          <t>SELECT CO_KPI_CODE_AMT
FROM DMS_BI.DMS_CO_KPI_RESOURCE
WHERE 1=1
AND DMS_BRAND_CD = 'L'
AND YYYYMMDD = '20230101'
AND CO_KPI_CODE = 'RETAIL_SALES_RATIO'</t>
        </r>
      </text>
    </comment>
    <comment ref="O88" authorId="0" shapeId="0" xr:uid="{31A42590-0188-407F-8A8E-570567F8C198}">
      <text>
        <r>
          <rPr>
            <b/>
            <sz val="9"/>
            <color indexed="81"/>
            <rFont val="Tahoma"/>
            <family val="2"/>
          </rPr>
          <t>select co_kpi_code_amt
from dms_co_kpi_resource
where 1=1
and dms_brand_cd = 'L'
and yyyymmdd = '20230101'
and co_kpi_code = 'RETAIL_SALES_RATIO'</t>
        </r>
      </text>
    </comment>
  </commentList>
</comments>
</file>

<file path=xl/sharedStrings.xml><?xml version="1.0" encoding="utf-8"?>
<sst xmlns="http://schemas.openxmlformats.org/spreadsheetml/2006/main" count="611" uniqueCount="442">
  <si>
    <t>Page</t>
    <phoneticPr fontId="6"/>
  </si>
  <si>
    <t>Area</t>
    <phoneticPr fontId="6"/>
  </si>
  <si>
    <t>KPI</t>
    <phoneticPr fontId="6"/>
  </si>
  <si>
    <t>Definition</t>
    <phoneticPr fontId="6"/>
  </si>
  <si>
    <t>Criteria</t>
    <phoneticPr fontId="6"/>
  </si>
  <si>
    <t>DMS source</t>
    <phoneticPr fontId="6"/>
  </si>
  <si>
    <t>Link</t>
    <phoneticPr fontId="6"/>
  </si>
  <si>
    <t>렉서스 강남 2023.01</t>
    <phoneticPr fontId="1" type="noConversion"/>
  </si>
  <si>
    <t>breakdown</t>
    <phoneticPr fontId="6"/>
  </si>
  <si>
    <t>DMS</t>
    <phoneticPr fontId="1" type="noConversion"/>
  </si>
  <si>
    <t>RDS</t>
    <phoneticPr fontId="1" type="noConversion"/>
  </si>
  <si>
    <t>DMS 값</t>
    <phoneticPr fontId="1" type="noConversion"/>
  </si>
  <si>
    <t>DMS 비교 값</t>
    <phoneticPr fontId="1" type="noConversion"/>
  </si>
  <si>
    <t>RDS 값</t>
    <phoneticPr fontId="1" type="noConversion"/>
  </si>
  <si>
    <t>RDS 비교 값</t>
    <phoneticPr fontId="1" type="noConversion"/>
  </si>
  <si>
    <t>BI</t>
    <phoneticPr fontId="1" type="noConversion"/>
  </si>
  <si>
    <t>Sales / Contract</t>
  </si>
  <si>
    <t>Sales</t>
  </si>
  <si>
    <t>On-going Pace vs Target</t>
  </si>
  <si>
    <t>Monthly Target</t>
  </si>
  <si>
    <t>Sales Target</t>
    <phoneticPr fontId="1" type="noConversion"/>
  </si>
  <si>
    <r>
      <t xml:space="preserve">Sales Target: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Sales &gt; </t>
    </r>
    <r>
      <rPr>
        <sz val="11"/>
        <color theme="1"/>
        <rFont val="Arial Unicode MS"/>
        <family val="2"/>
        <charset val="129"/>
      </rPr>
      <t>당월목표</t>
    </r>
  </si>
  <si>
    <t>DMS ES Sales Target
245</t>
    <phoneticPr fontId="1" type="noConversion"/>
  </si>
  <si>
    <t>RDS Sales Target
245</t>
    <phoneticPr fontId="1" type="noConversion"/>
  </si>
  <si>
    <t>[#_Sales_Target(M)]  
O</t>
  </si>
  <si>
    <t>Target as of today</t>
  </si>
  <si>
    <r>
      <t>Sales Target(</t>
    </r>
    <r>
      <rPr>
        <sz val="11"/>
        <color theme="1"/>
        <rFont val="Arial Unicode MS"/>
        <family val="2"/>
        <charset val="129"/>
      </rPr>
      <t>오늘까지</t>
    </r>
    <r>
      <rPr>
        <sz val="11"/>
        <color theme="1"/>
        <rFont val="Arial"/>
        <family val="2"/>
      </rPr>
      <t>)</t>
    </r>
  </si>
  <si>
    <r>
      <t xml:space="preserve">Sales Target: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Sales &gt; </t>
    </r>
    <r>
      <rPr>
        <sz val="11"/>
        <color theme="1"/>
        <rFont val="Arial Unicode MS"/>
        <family val="2"/>
        <charset val="129"/>
      </rPr>
      <t>진도목표</t>
    </r>
  </si>
  <si>
    <t>DMS ES Sales Target
2023-01-15 (44)</t>
    <phoneticPr fontId="1" type="noConversion"/>
  </si>
  <si>
    <t>RDS ES Sales Target
2023-01-15 (44)</t>
    <phoneticPr fontId="1" type="noConversion"/>
  </si>
  <si>
    <t>[#_Sales_Target(D)_MTD]  
O</t>
  </si>
  <si>
    <t>Current Pace</t>
  </si>
  <si>
    <t>Sales Result</t>
    <phoneticPr fontId="1" type="noConversion"/>
  </si>
  <si>
    <r>
      <t xml:space="preserve">Sales MTD: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Sales &gt; </t>
    </r>
    <r>
      <rPr>
        <sz val="11"/>
        <color theme="1"/>
        <rFont val="Arial Unicode MS"/>
        <family val="2"/>
        <charset val="129"/>
      </rPr>
      <t>당월실적</t>
    </r>
  </si>
  <si>
    <t>DMS ES Sales
2023-01-15 (21)</t>
  </si>
  <si>
    <t>RDS ES Sales
2023-01-15 (21)</t>
    <phoneticPr fontId="1" type="noConversion"/>
  </si>
  <si>
    <t>[#_Sales_CurrentPace_MTD]  
O</t>
  </si>
  <si>
    <t>Forecast by 31th</t>
  </si>
  <si>
    <t>Sales Forecast</t>
  </si>
  <si>
    <r>
      <t xml:space="preserve">DMS &gt; [Daily Target Creation] </t>
    </r>
    <r>
      <rPr>
        <sz val="11"/>
        <color theme="1"/>
        <rFont val="맑은 고딕"/>
        <family val="3"/>
        <charset val="129"/>
      </rPr>
      <t>화면 Sales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비율  * 출고당월목표 / 100</t>
    </r>
    <phoneticPr fontId="1" type="noConversion"/>
  </si>
  <si>
    <t>DMS ES Sales
2023-01-15 (46)</t>
    <phoneticPr fontId="1" type="noConversion"/>
  </si>
  <si>
    <t>RDS ES Sales
2023-01-15 (46)</t>
  </si>
  <si>
    <t>[#_Sales_Forecast(31th)_MTD]  
O</t>
  </si>
  <si>
    <t>On-going Pace vs Previous Trend</t>
  </si>
  <si>
    <t>DMS ES Sales
121</t>
    <phoneticPr fontId="1" type="noConversion"/>
  </si>
  <si>
    <t>RDS ES Sales
121</t>
    <phoneticPr fontId="1" type="noConversion"/>
  </si>
  <si>
    <t>[#_Sales_CurrentPace_MTD]
O</t>
  </si>
  <si>
    <t>Last Month</t>
    <phoneticPr fontId="1" type="noConversion"/>
  </si>
  <si>
    <r>
      <rPr>
        <sz val="11"/>
        <color theme="1"/>
        <rFont val="Arial Unicode MS"/>
        <family val="2"/>
        <charset val="129"/>
      </rPr>
      <t xml:space="preserve">전월 </t>
    </r>
    <r>
      <rPr>
        <sz val="11"/>
        <color theme="1"/>
        <rFont val="Arial"/>
        <family val="2"/>
      </rPr>
      <t>Sales</t>
    </r>
    <r>
      <rPr>
        <sz val="11"/>
        <color theme="1"/>
        <rFont val="Arial"/>
        <family val="2"/>
        <charset val="129"/>
      </rPr>
      <t xml:space="preserve"> Result</t>
    </r>
    <phoneticPr fontId="1" type="noConversion"/>
  </si>
  <si>
    <t>DMS ES Sales Last Month
256</t>
    <phoneticPr fontId="1" type="noConversion"/>
  </si>
  <si>
    <t>RDS ES Sales Last Month
256</t>
    <phoneticPr fontId="1" type="noConversion"/>
  </si>
  <si>
    <t>[#_Sales_LM]
O</t>
  </si>
  <si>
    <t>vs Last Month</t>
  </si>
  <si>
    <t>당월 Sales / 전월 Sales Result</t>
    <phoneticPr fontId="1" type="noConversion"/>
  </si>
  <si>
    <r>
      <rPr>
        <sz val="11"/>
        <color theme="1"/>
        <rFont val="Arial Unicode MS"/>
        <family val="2"/>
        <charset val="129"/>
      </rPr>
      <t xml:space="preserve">전월 </t>
    </r>
    <r>
      <rPr>
        <sz val="11"/>
        <color theme="1"/>
        <rFont val="Arial"/>
        <family val="2"/>
      </rPr>
      <t xml:space="preserve">Sales MTD: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Sales &gt; </t>
    </r>
    <r>
      <rPr>
        <sz val="11"/>
        <color theme="1"/>
        <rFont val="Arial Unicode MS"/>
        <family val="2"/>
        <charset val="129"/>
      </rPr>
      <t>당월실적(전월기준)</t>
    </r>
    <r>
      <rPr>
        <sz val="11"/>
        <color theme="1"/>
        <rFont val="Arial"/>
        <family val="2"/>
        <charset val="129"/>
      </rPr>
      <t xml:space="preserve">
</t>
    </r>
    <r>
      <rPr>
        <sz val="11"/>
        <color theme="1"/>
        <rFont val="Arial Unicode MS"/>
        <family val="2"/>
        <charset val="129"/>
      </rPr>
      <t>당월</t>
    </r>
    <r>
      <rPr>
        <sz val="11"/>
        <color theme="1"/>
        <rFont val="Arial"/>
        <family val="2"/>
        <charset val="129"/>
      </rPr>
      <t xml:space="preserve"> Sales MTD: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  <charset val="129"/>
      </rPr>
      <t xml:space="preserve"> DAILY TREND &gt; 
Sales &gt; </t>
    </r>
    <r>
      <rPr>
        <sz val="11"/>
        <color theme="1"/>
        <rFont val="Arial Unicode MS"/>
        <family val="2"/>
        <charset val="129"/>
      </rPr>
      <t>당월실적</t>
    </r>
  </si>
  <si>
    <t>[#_Sales_LM_Ratio(%)]
O</t>
  </si>
  <si>
    <t>Last Year</t>
    <phoneticPr fontId="1" type="noConversion"/>
  </si>
  <si>
    <t>전년 Sales Result</t>
    <phoneticPr fontId="1" type="noConversion"/>
  </si>
  <si>
    <t>DMS ES Sales Last Year
128</t>
    <phoneticPr fontId="1" type="noConversion"/>
  </si>
  <si>
    <t>RDS ES Sales Last Year
128</t>
    <phoneticPr fontId="1" type="noConversion"/>
  </si>
  <si>
    <t>[#_Sales_LY]
O</t>
  </si>
  <si>
    <t>vs Last Year</t>
  </si>
  <si>
    <r>
      <rPr>
        <sz val="11"/>
        <color theme="1"/>
        <rFont val="Arial Unicode MS"/>
        <family val="2"/>
        <charset val="129"/>
      </rPr>
      <t xml:space="preserve">당월 </t>
    </r>
    <r>
      <rPr>
        <sz val="11"/>
        <color theme="1"/>
        <rFont val="Arial"/>
        <family val="2"/>
      </rPr>
      <t xml:space="preserve">Sales  / </t>
    </r>
    <r>
      <rPr>
        <sz val="11"/>
        <color theme="1"/>
        <rFont val="Arial Unicode MS"/>
        <family val="2"/>
        <charset val="129"/>
      </rPr>
      <t xml:space="preserve">작년 </t>
    </r>
    <r>
      <rPr>
        <sz val="11"/>
        <color theme="1"/>
        <rFont val="Arial"/>
        <family val="2"/>
      </rPr>
      <t>Sales Result</t>
    </r>
    <phoneticPr fontId="1" type="noConversion"/>
  </si>
  <si>
    <r>
      <rPr>
        <sz val="11"/>
        <color theme="1"/>
        <rFont val="Arial Unicode MS"/>
        <family val="2"/>
        <charset val="129"/>
      </rPr>
      <t xml:space="preserve">작년 </t>
    </r>
    <r>
      <rPr>
        <sz val="11"/>
        <color theme="1"/>
        <rFont val="Arial"/>
        <family val="2"/>
      </rPr>
      <t xml:space="preserve">Sales MTD: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Sales &gt; </t>
    </r>
    <r>
      <rPr>
        <sz val="11"/>
        <color theme="1"/>
        <rFont val="Arial Unicode MS"/>
        <family val="2"/>
        <charset val="129"/>
      </rPr>
      <t>당월실적(작년 같은 월 기준)</t>
    </r>
    <r>
      <rPr>
        <sz val="11"/>
        <color theme="1"/>
        <rFont val="Arial"/>
        <family val="2"/>
        <charset val="129"/>
      </rPr>
      <t xml:space="preserve">
</t>
    </r>
    <r>
      <rPr>
        <sz val="11"/>
        <color theme="1"/>
        <rFont val="Arial Unicode MS"/>
        <family val="2"/>
        <charset val="129"/>
      </rPr>
      <t>당월</t>
    </r>
    <r>
      <rPr>
        <sz val="11"/>
        <color theme="1"/>
        <rFont val="Arial"/>
        <family val="2"/>
        <charset val="129"/>
      </rPr>
      <t xml:space="preserve"> Sales MTD: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  <charset val="129"/>
      </rPr>
      <t xml:space="preserve"> DAILY TREND &gt; 
Sales &gt; </t>
    </r>
    <r>
      <rPr>
        <sz val="11"/>
        <color theme="1"/>
        <rFont val="Arial Unicode MS"/>
        <family val="2"/>
        <charset val="129"/>
      </rPr>
      <t>당월실적</t>
    </r>
  </si>
  <si>
    <t>[#_Sales_LY_Ratio(%)]
O</t>
  </si>
  <si>
    <t>3 months Avg</t>
    <phoneticPr fontId="1" type="noConversion"/>
  </si>
  <si>
    <r>
      <rPr>
        <sz val="11"/>
        <color theme="1"/>
        <rFont val="Arial Unicode MS"/>
        <family val="2"/>
        <charset val="129"/>
      </rPr>
      <t xml:space="preserve">직전 3개월 </t>
    </r>
    <r>
      <rPr>
        <sz val="11"/>
        <color theme="1"/>
        <rFont val="Arial"/>
        <family val="2"/>
      </rPr>
      <t xml:space="preserve">Sales Result </t>
    </r>
    <r>
      <rPr>
        <sz val="11"/>
        <color theme="1"/>
        <rFont val="Arial Unicode MS"/>
        <family val="2"/>
        <charset val="129"/>
      </rPr>
      <t>평균</t>
    </r>
    <phoneticPr fontId="1" type="noConversion"/>
  </si>
  <si>
    <t>DMS ES Sales 3 Months Avg
159</t>
    <phoneticPr fontId="1" type="noConversion"/>
  </si>
  <si>
    <t>RDS ES Sales 3 Months Avg
159</t>
    <phoneticPr fontId="1" type="noConversion"/>
  </si>
  <si>
    <t>[#_Sales_3M/AVG]
O</t>
  </si>
  <si>
    <t>vs 3 Months Avg</t>
  </si>
  <si>
    <r>
      <rPr>
        <sz val="11"/>
        <color theme="1"/>
        <rFont val="Arial Unicode MS"/>
        <family val="2"/>
        <charset val="129"/>
      </rPr>
      <t xml:space="preserve">당월 </t>
    </r>
    <r>
      <rPr>
        <sz val="11"/>
        <color theme="1"/>
        <rFont val="Arial"/>
        <family val="2"/>
      </rPr>
      <t xml:space="preserve">Sales / </t>
    </r>
    <r>
      <rPr>
        <sz val="11"/>
        <color theme="1"/>
        <rFont val="Arial Unicode MS"/>
        <family val="2"/>
        <charset val="129"/>
      </rPr>
      <t xml:space="preserve">직전 3개월 </t>
    </r>
    <r>
      <rPr>
        <sz val="11"/>
        <color theme="1"/>
        <rFont val="Arial"/>
        <family val="2"/>
      </rPr>
      <t xml:space="preserve">Sales Result </t>
    </r>
    <r>
      <rPr>
        <sz val="11"/>
        <color theme="1"/>
        <rFont val="Arial Unicode MS"/>
        <family val="2"/>
        <charset val="129"/>
      </rPr>
      <t>평균</t>
    </r>
    <phoneticPr fontId="1" type="noConversion"/>
  </si>
  <si>
    <r>
      <rPr>
        <sz val="11"/>
        <color theme="1"/>
        <rFont val="Arial Unicode MS"/>
        <family val="2"/>
        <charset val="129"/>
      </rPr>
      <t>3</t>
    </r>
    <r>
      <rPr>
        <sz val="11"/>
        <color theme="1"/>
        <rFont val="Arial"/>
        <family val="2"/>
      </rPr>
      <t xml:space="preserve">Month Avg: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Sales &gt; </t>
    </r>
    <r>
      <rPr>
        <sz val="11"/>
        <color theme="1"/>
        <rFont val="Arial Unicode MS"/>
        <family val="2"/>
        <charset val="129"/>
      </rPr>
      <t>당월실적(직전 3개월 기준)</t>
    </r>
    <r>
      <rPr>
        <sz val="11"/>
        <color theme="1"/>
        <rFont val="Arial"/>
        <family val="2"/>
        <charset val="129"/>
      </rPr>
      <t xml:space="preserve">
</t>
    </r>
    <r>
      <rPr>
        <sz val="11"/>
        <color theme="1"/>
        <rFont val="Arial Unicode MS"/>
        <family val="2"/>
        <charset val="129"/>
      </rPr>
      <t>당월</t>
    </r>
    <r>
      <rPr>
        <sz val="11"/>
        <color theme="1"/>
        <rFont val="Arial"/>
        <family val="2"/>
        <charset val="129"/>
      </rPr>
      <t xml:space="preserve"> Sales MTD: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  <charset val="129"/>
      </rPr>
      <t xml:space="preserve"> DAILY TREND &gt; 
Sales &gt; </t>
    </r>
    <r>
      <rPr>
        <sz val="11"/>
        <color theme="1"/>
        <rFont val="Arial Unicode MS"/>
        <family val="2"/>
        <charset val="129"/>
      </rPr>
      <t>당월실적</t>
    </r>
  </si>
  <si>
    <t>DMS ES Sales 3 Month Avg
159</t>
    <phoneticPr fontId="1" type="noConversion"/>
  </si>
  <si>
    <t>RDS ES Sales 3 Month Avg
159</t>
    <phoneticPr fontId="1" type="noConversion"/>
  </si>
  <si>
    <t>[#_Sales_3M_Ratio(%)]
O</t>
  </si>
  <si>
    <t>6 Months Avg</t>
    <phoneticPr fontId="1" type="noConversion"/>
  </si>
  <si>
    <r>
      <rPr>
        <sz val="11"/>
        <color theme="1"/>
        <rFont val="Arial Unicode MS"/>
        <family val="2"/>
        <charset val="129"/>
      </rPr>
      <t xml:space="preserve">직전 6개월 </t>
    </r>
    <r>
      <rPr>
        <sz val="11"/>
        <color theme="1"/>
        <rFont val="Arial"/>
        <family val="2"/>
      </rPr>
      <t xml:space="preserve">Sales Result </t>
    </r>
    <r>
      <rPr>
        <sz val="11"/>
        <color theme="1"/>
        <rFont val="Arial Unicode MS"/>
        <family val="2"/>
        <charset val="129"/>
      </rPr>
      <t>평균</t>
    </r>
    <phoneticPr fontId="1" type="noConversion"/>
  </si>
  <si>
    <t>DMS ES Sales 6 Months Avg
128</t>
    <phoneticPr fontId="1" type="noConversion"/>
  </si>
  <si>
    <t>RDS ES Sales 6 Months Avg
128</t>
    <phoneticPr fontId="1" type="noConversion"/>
  </si>
  <si>
    <t>[#_Sales_6M/AVG]
O</t>
  </si>
  <si>
    <t>vs 6 Months Avg</t>
  </si>
  <si>
    <r>
      <rPr>
        <sz val="11"/>
        <color theme="1"/>
        <rFont val="Arial Unicode MS"/>
        <family val="2"/>
        <charset val="129"/>
      </rPr>
      <t xml:space="preserve">당월 </t>
    </r>
    <r>
      <rPr>
        <sz val="11"/>
        <color theme="1"/>
        <rFont val="Arial"/>
        <family val="2"/>
      </rPr>
      <t xml:space="preserve">Sales / </t>
    </r>
    <r>
      <rPr>
        <sz val="11"/>
        <color theme="1"/>
        <rFont val="Arial Unicode MS"/>
        <family val="2"/>
        <charset val="129"/>
      </rPr>
      <t xml:space="preserve">직전 6개월 </t>
    </r>
    <r>
      <rPr>
        <sz val="11"/>
        <color theme="1"/>
        <rFont val="Arial"/>
        <family val="2"/>
      </rPr>
      <t xml:space="preserve">Sales Result </t>
    </r>
    <r>
      <rPr>
        <sz val="11"/>
        <color theme="1"/>
        <rFont val="Arial Unicode MS"/>
        <family val="2"/>
        <charset val="129"/>
      </rPr>
      <t>평균</t>
    </r>
    <phoneticPr fontId="1" type="noConversion"/>
  </si>
  <si>
    <r>
      <rPr>
        <sz val="11"/>
        <color theme="1"/>
        <rFont val="Arial"/>
        <family val="2"/>
      </rPr>
      <t xml:space="preserve">6Month Avg: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Sales &gt; </t>
    </r>
    <r>
      <rPr>
        <sz val="11"/>
        <color theme="1"/>
        <rFont val="Arial Unicode MS"/>
        <family val="2"/>
        <charset val="129"/>
      </rPr>
      <t>당월실적(직전 6개월 기준)</t>
    </r>
    <r>
      <rPr>
        <sz val="11"/>
        <color theme="1"/>
        <rFont val="Arial"/>
        <family val="2"/>
        <charset val="129"/>
      </rPr>
      <t xml:space="preserve">
</t>
    </r>
    <r>
      <rPr>
        <sz val="11"/>
        <color theme="1"/>
        <rFont val="Arial Unicode MS"/>
        <family val="2"/>
        <charset val="129"/>
      </rPr>
      <t>당월</t>
    </r>
    <r>
      <rPr>
        <sz val="11"/>
        <color theme="1"/>
        <rFont val="Arial"/>
        <family val="2"/>
        <charset val="129"/>
      </rPr>
      <t xml:space="preserve"> Sales MTD: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  <charset val="129"/>
      </rPr>
      <t xml:space="preserve"> DAILY TREND &gt; 
Sales &gt; </t>
    </r>
    <r>
      <rPr>
        <sz val="11"/>
        <color theme="1"/>
        <rFont val="Arial Unicode MS"/>
        <family val="2"/>
        <charset val="129"/>
      </rPr>
      <t>당월실적</t>
    </r>
  </si>
  <si>
    <t>DMS ES Sales 6 Month Avg
128</t>
    <phoneticPr fontId="1" type="noConversion"/>
  </si>
  <si>
    <t>RDS ES Sales 6 Month Avg
128</t>
    <phoneticPr fontId="1" type="noConversion"/>
  </si>
  <si>
    <t>[#_Sales_6M_Ratio(%)]
O</t>
  </si>
  <si>
    <t>Contract</t>
  </si>
  <si>
    <t>Monthly Target</t>
    <phoneticPr fontId="1" type="noConversion"/>
  </si>
  <si>
    <t>Contract Target</t>
  </si>
  <si>
    <r>
      <t xml:space="preserve">Contract Target: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Contract &gt; </t>
    </r>
    <r>
      <rPr>
        <sz val="11"/>
        <color theme="1"/>
        <rFont val="Arial Unicode MS"/>
        <family val="2"/>
        <charset val="129"/>
      </rPr>
      <t>당월목표</t>
    </r>
  </si>
  <si>
    <t>DMS ES Contract Target
144</t>
    <phoneticPr fontId="1" type="noConversion"/>
  </si>
  <si>
    <t>RDS ES Contract Target
144</t>
    <phoneticPr fontId="1" type="noConversion"/>
  </si>
  <si>
    <t>[#_Contract_Target(M)]  
O</t>
  </si>
  <si>
    <t>Target as of today</t>
    <phoneticPr fontId="1" type="noConversion"/>
  </si>
  <si>
    <r>
      <t>Contract Target(</t>
    </r>
    <r>
      <rPr>
        <sz val="11"/>
        <color theme="1"/>
        <rFont val="Arial Unicode MS"/>
        <family val="2"/>
        <charset val="129"/>
      </rPr>
      <t>오늘까지</t>
    </r>
    <r>
      <rPr>
        <sz val="11"/>
        <color theme="1"/>
        <rFont val="Arial"/>
        <family val="2"/>
      </rPr>
      <t>)</t>
    </r>
  </si>
  <si>
    <r>
      <t xml:space="preserve">Contract Target: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Contract &gt; </t>
    </r>
    <r>
      <rPr>
        <sz val="11"/>
        <color theme="1"/>
        <rFont val="Arial Unicode MS"/>
        <family val="2"/>
        <charset val="129"/>
      </rPr>
      <t>진도목표</t>
    </r>
  </si>
  <si>
    <t>DMS ES Contract Target
2023-01-15 (74)</t>
    <phoneticPr fontId="1" type="noConversion"/>
  </si>
  <si>
    <t>RDS ES Contract Target
2023-01-15 (74)</t>
    <phoneticPr fontId="1" type="noConversion"/>
  </si>
  <si>
    <t>[#_Contract Target(D)_MTD]  
O</t>
  </si>
  <si>
    <t>Current Pace</t>
    <phoneticPr fontId="1" type="noConversion"/>
  </si>
  <si>
    <t>Contract Result</t>
    <phoneticPr fontId="1" type="noConversion"/>
  </si>
  <si>
    <r>
      <t xml:space="preserve">Contract MTD: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Contract &gt; </t>
    </r>
    <r>
      <rPr>
        <sz val="11"/>
        <color theme="1"/>
        <rFont val="Arial Unicode MS"/>
        <family val="2"/>
        <charset val="129"/>
      </rPr>
      <t>당월실적</t>
    </r>
  </si>
  <si>
    <t>DMS ES Contract Result
2023-01-15 (65)</t>
    <phoneticPr fontId="1" type="noConversion"/>
  </si>
  <si>
    <t>RDS ES Contract Result
2023-01-15 (65)</t>
    <phoneticPr fontId="1" type="noConversion"/>
  </si>
  <si>
    <t>[#_Contract_CurrentPace_MTD]  
O</t>
  </si>
  <si>
    <t>Contracct Forecast
Monthly Target / Target as of today * Contract Result</t>
  </si>
  <si>
    <r>
      <t xml:space="preserve">DMS &gt; [Daily Target Creation] </t>
    </r>
    <r>
      <rPr>
        <sz val="11"/>
        <color theme="1"/>
        <rFont val="맑은 고딕"/>
        <family val="3"/>
        <charset val="129"/>
      </rPr>
      <t>화면</t>
    </r>
    <r>
      <rPr>
        <sz val="11"/>
        <color theme="1"/>
        <rFont val="Arial"/>
        <family val="2"/>
      </rPr>
      <t xml:space="preserve"> Contract </t>
    </r>
    <r>
      <rPr>
        <sz val="11"/>
        <color theme="1"/>
        <rFont val="Arial Unicode MS"/>
        <family val="2"/>
        <charset val="129"/>
      </rPr>
      <t>비율 * 계약당월목표 / 100</t>
    </r>
    <phoneticPr fontId="1" type="noConversion"/>
  </si>
  <si>
    <t>DMS ES Contract Forecast
2023-01-15 (74)</t>
    <phoneticPr fontId="1" type="noConversion"/>
  </si>
  <si>
    <t>RDS ES Contract Forecast
2023-01-15 (74)</t>
    <phoneticPr fontId="1" type="noConversion"/>
  </si>
  <si>
    <t>[#_Contract_Forecast(31th)_MTD]
O</t>
  </si>
  <si>
    <t>DMS ES Contract Result
116</t>
    <phoneticPr fontId="1" type="noConversion"/>
  </si>
  <si>
    <t>RDS ES Contract Result
116</t>
    <phoneticPr fontId="1" type="noConversion"/>
  </si>
  <si>
    <t>[#_Contract_CurrentPace_MTD]
O</t>
  </si>
  <si>
    <r>
      <rPr>
        <sz val="11"/>
        <color theme="1"/>
        <rFont val="Arial Unicode MS"/>
        <family val="2"/>
        <charset val="129"/>
      </rPr>
      <t>전월</t>
    </r>
    <r>
      <rPr>
        <sz val="11"/>
        <color theme="1"/>
        <rFont val="Arial"/>
        <family val="2"/>
      </rPr>
      <t xml:space="preserve"> Contract Result</t>
    </r>
    <phoneticPr fontId="1" type="noConversion"/>
  </si>
  <si>
    <t>DMS ES Contract Reuslt Last Month
161</t>
    <phoneticPr fontId="1" type="noConversion"/>
  </si>
  <si>
    <t>RDS ES Contract Reuslt Last Month
161</t>
    <phoneticPr fontId="1" type="noConversion"/>
  </si>
  <si>
    <t>[#_Contract_LM]
O</t>
  </si>
  <si>
    <t>당월 Contract / 전월 Contract Result</t>
    <phoneticPr fontId="1" type="noConversion"/>
  </si>
  <si>
    <r>
      <rPr>
        <sz val="11"/>
        <color theme="1"/>
        <rFont val="Arial Unicode MS"/>
        <family val="2"/>
        <charset val="129"/>
      </rPr>
      <t xml:space="preserve">전월 </t>
    </r>
    <r>
      <rPr>
        <sz val="11"/>
        <color theme="1"/>
        <rFont val="Arial"/>
        <family val="2"/>
      </rPr>
      <t xml:space="preserve">Contract MTD: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Contract &gt; </t>
    </r>
    <r>
      <rPr>
        <sz val="11"/>
        <color theme="1"/>
        <rFont val="Arial Unicode MS"/>
        <family val="2"/>
        <charset val="129"/>
      </rPr>
      <t>당월실적(전월기준)</t>
    </r>
    <r>
      <rPr>
        <sz val="11"/>
        <color theme="1"/>
        <rFont val="Arial"/>
        <family val="2"/>
        <charset val="129"/>
      </rPr>
      <t xml:space="preserve">
</t>
    </r>
    <r>
      <rPr>
        <sz val="11"/>
        <color theme="1"/>
        <rFont val="Arial Unicode MS"/>
        <family val="2"/>
        <charset val="129"/>
      </rPr>
      <t>당월</t>
    </r>
    <r>
      <rPr>
        <sz val="11"/>
        <color theme="1"/>
        <rFont val="Arial"/>
        <family val="2"/>
        <charset val="129"/>
      </rPr>
      <t xml:space="preserve"> Contract MTD: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  <charset val="129"/>
      </rPr>
      <t xml:space="preserve"> DAILY TREND &gt; 
Contract &gt; </t>
    </r>
    <r>
      <rPr>
        <sz val="11"/>
        <color theme="1"/>
        <rFont val="Arial Unicode MS"/>
        <family val="2"/>
        <charset val="129"/>
      </rPr>
      <t>당월실적</t>
    </r>
  </si>
  <si>
    <t>[#_Contract_LM_Ratio(%)]
O</t>
  </si>
  <si>
    <t>Last Yaer</t>
    <phoneticPr fontId="1" type="noConversion"/>
  </si>
  <si>
    <r>
      <rPr>
        <sz val="11"/>
        <color theme="1"/>
        <rFont val="Arial Unicode MS"/>
        <family val="2"/>
        <charset val="129"/>
      </rPr>
      <t>전년</t>
    </r>
    <r>
      <rPr>
        <sz val="11"/>
        <color theme="1"/>
        <rFont val="Arial"/>
        <family val="2"/>
      </rPr>
      <t xml:space="preserve"> Contract Result</t>
    </r>
    <phoneticPr fontId="1" type="noConversion"/>
  </si>
  <si>
    <t>DMS ES Contract Result Last Year
287</t>
    <phoneticPr fontId="1" type="noConversion"/>
  </si>
  <si>
    <t>RDS ES Contract Result Last Year
287</t>
    <phoneticPr fontId="1" type="noConversion"/>
  </si>
  <si>
    <t>[#_Contract_LY]
O</t>
  </si>
  <si>
    <r>
      <rPr>
        <sz val="11"/>
        <color theme="1"/>
        <rFont val="Arial Unicode MS"/>
        <family val="2"/>
        <charset val="129"/>
      </rPr>
      <t>작년</t>
    </r>
    <r>
      <rPr>
        <sz val="11"/>
        <color theme="1"/>
        <rFont val="Arial"/>
        <family val="2"/>
      </rPr>
      <t xml:space="preserve"> Contract MTD + (MTD / </t>
    </r>
    <r>
      <rPr>
        <sz val="11"/>
        <color theme="1"/>
        <rFont val="Arial Unicode MS"/>
        <family val="2"/>
        <charset val="129"/>
      </rPr>
      <t>작년</t>
    </r>
    <r>
      <rPr>
        <sz val="11"/>
        <color theme="1"/>
        <rFont val="Arial"/>
        <family val="2"/>
      </rPr>
      <t xml:space="preserve"> MTD) </t>
    </r>
    <r>
      <rPr>
        <sz val="11"/>
        <color theme="1"/>
        <rFont val="Arial Unicode MS"/>
        <family val="2"/>
        <charset val="129"/>
      </rPr>
      <t>비율</t>
    </r>
  </si>
  <si>
    <r>
      <rPr>
        <sz val="11"/>
        <color theme="1"/>
        <rFont val="Arial Unicode MS"/>
        <family val="2"/>
        <charset val="129"/>
      </rPr>
      <t xml:space="preserve">작년 </t>
    </r>
    <r>
      <rPr>
        <sz val="11"/>
        <color theme="1"/>
        <rFont val="Arial"/>
        <family val="2"/>
      </rPr>
      <t xml:space="preserve">Contract MTD: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Contract &gt; </t>
    </r>
    <r>
      <rPr>
        <sz val="11"/>
        <color theme="1"/>
        <rFont val="Arial Unicode MS"/>
        <family val="2"/>
        <charset val="129"/>
      </rPr>
      <t>당월실적(작년 같은 월 기준)</t>
    </r>
    <r>
      <rPr>
        <sz val="11"/>
        <color theme="1"/>
        <rFont val="Arial"/>
        <family val="2"/>
        <charset val="129"/>
      </rPr>
      <t xml:space="preserve">
</t>
    </r>
    <r>
      <rPr>
        <sz val="11"/>
        <color theme="1"/>
        <rFont val="Arial Unicode MS"/>
        <family val="2"/>
        <charset val="129"/>
      </rPr>
      <t>당월</t>
    </r>
    <r>
      <rPr>
        <sz val="11"/>
        <color theme="1"/>
        <rFont val="Arial"/>
        <family val="2"/>
        <charset val="129"/>
      </rPr>
      <t xml:space="preserve"> Contract MTD: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  <charset val="129"/>
      </rPr>
      <t xml:space="preserve"> DAILY TREND &gt; 
Contract &gt; </t>
    </r>
    <r>
      <rPr>
        <sz val="11"/>
        <color theme="1"/>
        <rFont val="Arial Unicode MS"/>
        <family val="2"/>
        <charset val="129"/>
      </rPr>
      <t>당월실적</t>
    </r>
  </si>
  <si>
    <t>[#_Contract_LY_Ratio(%)]
O</t>
  </si>
  <si>
    <t>3 Months Avg</t>
    <phoneticPr fontId="1" type="noConversion"/>
  </si>
  <si>
    <r>
      <rPr>
        <sz val="11"/>
        <color theme="1"/>
        <rFont val="Arial Unicode MS"/>
        <family val="2"/>
        <charset val="129"/>
      </rPr>
      <t xml:space="preserve">직전 3개월 </t>
    </r>
    <r>
      <rPr>
        <sz val="11"/>
        <color theme="1"/>
        <rFont val="Arial"/>
        <family val="2"/>
      </rPr>
      <t xml:space="preserve">Contract Result </t>
    </r>
    <r>
      <rPr>
        <sz val="11"/>
        <color theme="1"/>
        <rFont val="Arial Unicode MS"/>
        <family val="2"/>
        <charset val="129"/>
      </rPr>
      <t>평균</t>
    </r>
    <phoneticPr fontId="1" type="noConversion"/>
  </si>
  <si>
    <t>DMS ES Contract 3 Months Result
196</t>
    <phoneticPr fontId="1" type="noConversion"/>
  </si>
  <si>
    <t>RDS ES Contract 3 Months Result
196</t>
    <phoneticPr fontId="1" type="noConversion"/>
  </si>
  <si>
    <t>[#_Contract_3M/AVG]
O</t>
  </si>
  <si>
    <r>
      <t>3 Months Avg + 
(</t>
    </r>
    <r>
      <rPr>
        <sz val="11"/>
        <color theme="1"/>
        <rFont val="Arial Unicode MS"/>
        <family val="2"/>
        <charset val="129"/>
      </rPr>
      <t>당월</t>
    </r>
    <r>
      <rPr>
        <sz val="11"/>
        <color theme="1"/>
        <rFont val="Arial"/>
        <family val="2"/>
      </rPr>
      <t xml:space="preserve"> MTD / </t>
    </r>
    <r>
      <rPr>
        <sz val="11"/>
        <color theme="1"/>
        <rFont val="Arial Unicode MS"/>
        <family val="2"/>
        <charset val="129"/>
      </rPr>
      <t xml:space="preserve">직전 </t>
    </r>
    <r>
      <rPr>
        <sz val="11"/>
        <color theme="1"/>
        <rFont val="Arial"/>
        <family val="2"/>
      </rPr>
      <t>3</t>
    </r>
    <r>
      <rPr>
        <sz val="11"/>
        <color theme="1"/>
        <rFont val="Arial Unicode MS"/>
        <family val="2"/>
        <charset val="129"/>
      </rPr>
      <t>개월치 평균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Arial Unicode MS"/>
        <family val="2"/>
        <charset val="129"/>
      </rPr>
      <t>비율</t>
    </r>
  </si>
  <si>
    <r>
      <rPr>
        <sz val="11"/>
        <color theme="1"/>
        <rFont val="Arial Unicode MS"/>
        <family val="2"/>
        <charset val="129"/>
      </rPr>
      <t>3</t>
    </r>
    <r>
      <rPr>
        <sz val="11"/>
        <color theme="1"/>
        <rFont val="Arial"/>
        <family val="2"/>
      </rPr>
      <t xml:space="preserve">Month Avg: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Contract &gt; </t>
    </r>
    <r>
      <rPr>
        <sz val="11"/>
        <color theme="1"/>
        <rFont val="Arial Unicode MS"/>
        <family val="2"/>
        <charset val="129"/>
      </rPr>
      <t>당월실적(직전 3개월 기준)</t>
    </r>
    <r>
      <rPr>
        <sz val="11"/>
        <color theme="1"/>
        <rFont val="Arial"/>
        <family val="2"/>
        <charset val="129"/>
      </rPr>
      <t xml:space="preserve">
</t>
    </r>
    <r>
      <rPr>
        <sz val="11"/>
        <color theme="1"/>
        <rFont val="Arial Unicode MS"/>
        <family val="2"/>
        <charset val="129"/>
      </rPr>
      <t>당월</t>
    </r>
    <r>
      <rPr>
        <sz val="11"/>
        <color theme="1"/>
        <rFont val="Arial"/>
        <family val="2"/>
        <charset val="129"/>
      </rPr>
      <t xml:space="preserve"> Sales MTD: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  <charset val="129"/>
      </rPr>
      <t xml:space="preserve"> DAILY TREND &gt; 
Contract &gt; </t>
    </r>
    <r>
      <rPr>
        <sz val="11"/>
        <color theme="1"/>
        <rFont val="Arial Unicode MS"/>
        <family val="2"/>
        <charset val="129"/>
      </rPr>
      <t>당월실적</t>
    </r>
  </si>
  <si>
    <t>[#_Contract_3M/AVG_Ratio(%)]
O</t>
  </si>
  <si>
    <r>
      <rPr>
        <sz val="11"/>
        <color theme="1"/>
        <rFont val="Arial Unicode MS"/>
        <family val="2"/>
        <charset val="129"/>
      </rPr>
      <t xml:space="preserve">직전 6개월 </t>
    </r>
    <r>
      <rPr>
        <sz val="11"/>
        <color theme="1"/>
        <rFont val="Arial"/>
        <family val="2"/>
      </rPr>
      <t xml:space="preserve">Contract Result </t>
    </r>
    <r>
      <rPr>
        <sz val="11"/>
        <color theme="1"/>
        <rFont val="Arial Unicode MS"/>
        <family val="2"/>
        <charset val="129"/>
      </rPr>
      <t>평균</t>
    </r>
    <phoneticPr fontId="1" type="noConversion"/>
  </si>
  <si>
    <t>DMS ES Contract 6 Months Result
213</t>
    <phoneticPr fontId="1" type="noConversion"/>
  </si>
  <si>
    <t>RDS ES Contract 6 Months Result
213</t>
    <phoneticPr fontId="1" type="noConversion"/>
  </si>
  <si>
    <t>[#_Contract_6M/AVG]
O</t>
  </si>
  <si>
    <r>
      <t>6 Months Avg + 
(</t>
    </r>
    <r>
      <rPr>
        <sz val="11"/>
        <color theme="1"/>
        <rFont val="Arial Unicode MS"/>
        <family val="2"/>
        <charset val="129"/>
      </rPr>
      <t>당월</t>
    </r>
    <r>
      <rPr>
        <sz val="11"/>
        <color theme="1"/>
        <rFont val="Arial"/>
        <family val="2"/>
      </rPr>
      <t xml:space="preserve"> MTD / </t>
    </r>
    <r>
      <rPr>
        <sz val="11"/>
        <color theme="1"/>
        <rFont val="Arial Unicode MS"/>
        <family val="2"/>
        <charset val="129"/>
      </rPr>
      <t>직전 6개월치 평균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Arial Unicode MS"/>
        <family val="2"/>
        <charset val="129"/>
      </rPr>
      <t>비율</t>
    </r>
  </si>
  <si>
    <r>
      <rPr>
        <sz val="11"/>
        <color theme="1"/>
        <rFont val="Arial"/>
        <family val="2"/>
      </rPr>
      <t xml:space="preserve">6Month Avg: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Contract &gt; </t>
    </r>
    <r>
      <rPr>
        <sz val="11"/>
        <color theme="1"/>
        <rFont val="Arial Unicode MS"/>
        <family val="2"/>
        <charset val="129"/>
      </rPr>
      <t>당월실적(직전 6개월 기준)</t>
    </r>
    <r>
      <rPr>
        <sz val="11"/>
        <color theme="1"/>
        <rFont val="Arial"/>
        <family val="2"/>
        <charset val="129"/>
      </rPr>
      <t xml:space="preserve">
</t>
    </r>
    <r>
      <rPr>
        <sz val="11"/>
        <color theme="1"/>
        <rFont val="Arial Unicode MS"/>
        <family val="2"/>
        <charset val="129"/>
      </rPr>
      <t>당월</t>
    </r>
    <r>
      <rPr>
        <sz val="11"/>
        <color theme="1"/>
        <rFont val="Arial"/>
        <family val="2"/>
        <charset val="129"/>
      </rPr>
      <t xml:space="preserve"> Sales MTD: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  <charset val="129"/>
      </rPr>
      <t xml:space="preserve"> DAILY TREND &gt; 
Contract &gt; </t>
    </r>
    <r>
      <rPr>
        <sz val="11"/>
        <color theme="1"/>
        <rFont val="Arial Unicode MS"/>
        <family val="2"/>
        <charset val="129"/>
      </rPr>
      <t>당월실적</t>
    </r>
  </si>
  <si>
    <t>[#_Contract_6M/AVG_Ratio(%)]
O</t>
  </si>
  <si>
    <t>Seasonal Contract Trend</t>
    <phoneticPr fontId="1" type="noConversion"/>
  </si>
  <si>
    <t>N-3 Result</t>
  </si>
  <si>
    <r>
      <rPr>
        <sz val="11"/>
        <color rgb="FF000000"/>
        <rFont val="Arial"/>
        <family val="2"/>
      </rPr>
      <t xml:space="preserve">N-3 </t>
    </r>
    <r>
      <rPr>
        <sz val="11"/>
        <color rgb="FF000000"/>
        <rFont val="Arial Unicode MS"/>
        <family val="3"/>
        <charset val="129"/>
      </rPr>
      <t>계약 보정치</t>
    </r>
  </si>
  <si>
    <t>신규기능</t>
    <phoneticPr fontId="1" type="noConversion"/>
  </si>
  <si>
    <r>
      <rPr>
        <sz val="11"/>
        <color rgb="FF000000"/>
        <rFont val="맑은 고딕"/>
        <family val="2"/>
        <scheme val="major"/>
      </rPr>
      <t xml:space="preserve">DMS ES Contract MTD
242
</t>
    </r>
    <r>
      <rPr>
        <sz val="11"/>
        <color rgb="FF70AD47"/>
        <rFont val="맑은 고딕"/>
        <family val="2"/>
        <scheme val="major"/>
      </rPr>
      <t>(20240228 수정)</t>
    </r>
  </si>
  <si>
    <r>
      <rPr>
        <sz val="11"/>
        <color rgb="FF000000"/>
        <rFont val="맑은 고딕"/>
        <family val="2"/>
        <scheme val="major"/>
      </rPr>
      <t xml:space="preserve">ES Seasonal index
100
</t>
    </r>
    <r>
      <rPr>
        <sz val="11"/>
        <color rgb="FF70AD47"/>
        <rFont val="맑은 고딕"/>
        <family val="2"/>
        <scheme val="major"/>
      </rPr>
      <t>(20240228 수정)</t>
    </r>
  </si>
  <si>
    <r>
      <rPr>
        <b/>
        <sz val="11"/>
        <color rgb="FFFF0000"/>
        <rFont val="맑은 고딕"/>
        <family val="2"/>
        <scheme val="major"/>
      </rPr>
      <t xml:space="preserve">RDS ES Contract MTD
243
</t>
    </r>
    <r>
      <rPr>
        <sz val="11"/>
        <color rgb="FF70AD47"/>
        <rFont val="맑은 고딕"/>
        <family val="2"/>
        <scheme val="major"/>
      </rPr>
      <t>(20240228 수정)</t>
    </r>
  </si>
  <si>
    <t>#_Seasonal_Result(N-3)
O</t>
  </si>
  <si>
    <t>N-2 Result</t>
  </si>
  <si>
    <r>
      <rPr>
        <sz val="11"/>
        <color rgb="FF000000"/>
        <rFont val="Arial"/>
        <family val="2"/>
      </rPr>
      <t xml:space="preserve">N-2 </t>
    </r>
    <r>
      <rPr>
        <sz val="11"/>
        <color rgb="FF000000"/>
        <rFont val="굴림"/>
        <family val="3"/>
        <charset val="129"/>
      </rPr>
      <t>계약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굴림"/>
        <family val="3"/>
        <charset val="129"/>
      </rPr>
      <t>보정치</t>
    </r>
  </si>
  <si>
    <r>
      <rPr>
        <sz val="11"/>
        <color rgb="FF000000"/>
        <rFont val="맑은 고딕"/>
        <family val="2"/>
        <scheme val="major"/>
      </rPr>
      <t xml:space="preserve">DMS ES Contract MTD
182
</t>
    </r>
    <r>
      <rPr>
        <sz val="11"/>
        <color rgb="FF70AD47"/>
        <rFont val="맑은 고딕"/>
        <family val="2"/>
        <scheme val="major"/>
      </rPr>
      <t>(20240228 수정)</t>
    </r>
  </si>
  <si>
    <r>
      <rPr>
        <sz val="11"/>
        <color rgb="FF000000"/>
        <rFont val="맑은 고딕"/>
        <family val="2"/>
        <scheme val="major"/>
      </rPr>
      <t xml:space="preserve">ES Seasonal index
106
</t>
    </r>
    <r>
      <rPr>
        <sz val="11"/>
        <color rgb="FF70AD47"/>
        <rFont val="맑은 고딕"/>
        <family val="2"/>
        <scheme val="major"/>
      </rPr>
      <t>(20240228 수정)</t>
    </r>
  </si>
  <si>
    <r>
      <rPr>
        <b/>
        <sz val="11"/>
        <color rgb="FFFF0000"/>
        <rFont val="맑은 고딕"/>
        <family val="2"/>
        <scheme val="major"/>
      </rPr>
      <t xml:space="preserve">RDS ES Contract MTD
183
</t>
    </r>
    <r>
      <rPr>
        <sz val="11"/>
        <color rgb="FF70AD47"/>
        <rFont val="맑은 고딕"/>
        <family val="2"/>
        <scheme val="major"/>
      </rPr>
      <t>(20240228 수정)</t>
    </r>
  </si>
  <si>
    <t>#_Seasonal_Result(N-2)
O</t>
  </si>
  <si>
    <t>N-1 Result</t>
  </si>
  <si>
    <r>
      <rPr>
        <sz val="11"/>
        <color rgb="FF000000"/>
        <rFont val="Arial"/>
        <family val="2"/>
      </rPr>
      <t xml:space="preserve">N-1 </t>
    </r>
    <r>
      <rPr>
        <sz val="11"/>
        <color rgb="FF000000"/>
        <rFont val="Arial Unicode MS"/>
        <family val="3"/>
        <charset val="129"/>
      </rPr>
      <t>계약 보정치</t>
    </r>
  </si>
  <si>
    <r>
      <rPr>
        <sz val="11"/>
        <color rgb="FF000000"/>
        <rFont val="맑은 고딕"/>
        <family val="2"/>
        <scheme val="major"/>
      </rPr>
      <t xml:space="preserve">DMS ES Contract MTD
160
</t>
    </r>
    <r>
      <rPr>
        <sz val="11"/>
        <color rgb="FF70AD47"/>
        <rFont val="맑은 고딕"/>
        <family val="2"/>
        <scheme val="major"/>
      </rPr>
      <t>(20240228 수정)</t>
    </r>
  </si>
  <si>
    <r>
      <rPr>
        <sz val="11"/>
        <color rgb="FF000000"/>
        <rFont val="맑은 고딕"/>
        <family val="2"/>
        <scheme val="major"/>
      </rPr>
      <t xml:space="preserve">ES Seasonal index
113
</t>
    </r>
    <r>
      <rPr>
        <sz val="11"/>
        <color rgb="FF70AD47"/>
        <rFont val="맑은 고딕"/>
        <family val="2"/>
        <scheme val="major"/>
      </rPr>
      <t>(20240228 수정)</t>
    </r>
  </si>
  <si>
    <r>
      <rPr>
        <b/>
        <sz val="11"/>
        <color rgb="FFFF0000"/>
        <rFont val="맑은 고딕"/>
        <family val="2"/>
        <scheme val="major"/>
      </rPr>
      <t xml:space="preserve">RDS ES Contract MTD
161
</t>
    </r>
    <r>
      <rPr>
        <sz val="11"/>
        <color rgb="FF70AD47"/>
        <rFont val="맑은 고딕"/>
        <family val="2"/>
        <scheme val="major"/>
      </rPr>
      <t>(20240228 수정)</t>
    </r>
  </si>
  <si>
    <t>#_Seasonal_Result(N-1)
O</t>
  </si>
  <si>
    <t>*날짜가 달라지면 값이 달라질 수 있음</t>
    <phoneticPr fontId="1" type="noConversion"/>
  </si>
  <si>
    <t>Result Avg 3M</t>
    <phoneticPr fontId="1" type="noConversion"/>
  </si>
  <si>
    <t>(N-1, N-2, N-3) Result 평균</t>
  </si>
  <si>
    <t>[#_Seasonal_Result(AVG)]
O</t>
  </si>
  <si>
    <t>Future Plan</t>
    <phoneticPr fontId="1" type="noConversion"/>
  </si>
  <si>
    <t>계산식 및 데이터 문의 필요</t>
    <phoneticPr fontId="1" type="noConversion"/>
  </si>
  <si>
    <t>계산에 활용할 데이터 관리 이슈로 현 프로젝트에서 제외</t>
    <phoneticPr fontId="1" type="noConversion"/>
  </si>
  <si>
    <t>N-3 Target</t>
  </si>
  <si>
    <r>
      <rPr>
        <sz val="11"/>
        <color rgb="FF000000"/>
        <rFont val="Arial"/>
        <family val="2"/>
      </rPr>
      <t xml:space="preserve">N-3 </t>
    </r>
    <r>
      <rPr>
        <sz val="11"/>
        <color rgb="FF000000"/>
        <rFont val="Arial Unicode MS"/>
        <family val="3"/>
        <charset val="129"/>
      </rPr>
      <t>계약 목표 보정치</t>
    </r>
  </si>
  <si>
    <r>
      <rPr>
        <sz val="11"/>
        <color rgb="FF000000"/>
        <rFont val="맑은 고딕"/>
        <family val="2"/>
        <scheme val="major"/>
      </rPr>
      <t xml:space="preserve">DMS ES Contract Target
204
</t>
    </r>
    <r>
      <rPr>
        <sz val="11"/>
        <color rgb="FF70AD47"/>
        <rFont val="맑은 고딕"/>
        <family val="2"/>
        <scheme val="major"/>
      </rPr>
      <t>(20240228 수정)</t>
    </r>
  </si>
  <si>
    <r>
      <rPr>
        <sz val="11"/>
        <color rgb="FF000000"/>
        <rFont val="맑은 고딕"/>
        <family val="2"/>
        <scheme val="major"/>
      </rPr>
      <t xml:space="preserve">RDS ES Contract Target
204
</t>
    </r>
    <r>
      <rPr>
        <sz val="11"/>
        <color rgb="FF70AD47"/>
        <rFont val="맑은 고딕"/>
        <family val="2"/>
        <scheme val="major"/>
      </rPr>
      <t>(20240228 수정)</t>
    </r>
  </si>
  <si>
    <t>#_Seasonal_Target(N-3)
O</t>
  </si>
  <si>
    <t>N-2 Target</t>
  </si>
  <si>
    <r>
      <rPr>
        <sz val="11"/>
        <color rgb="FF000000"/>
        <rFont val="Arial"/>
        <family val="2"/>
      </rPr>
      <t xml:space="preserve">N-2 </t>
    </r>
    <r>
      <rPr>
        <sz val="11"/>
        <color rgb="FF000000"/>
        <rFont val="굴림"/>
        <family val="3"/>
        <charset val="129"/>
      </rPr>
      <t>계약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 Unicode MS"/>
        <family val="3"/>
        <charset val="129"/>
      </rPr>
      <t xml:space="preserve">목표 </t>
    </r>
    <r>
      <rPr>
        <sz val="11"/>
        <color rgb="FF000000"/>
        <rFont val="굴림"/>
        <family val="3"/>
        <charset val="129"/>
      </rPr>
      <t>보정치</t>
    </r>
  </si>
  <si>
    <r>
      <rPr>
        <sz val="11"/>
        <color rgb="FF000000"/>
        <rFont val="맑은 고딕"/>
        <family val="2"/>
        <scheme val="major"/>
      </rPr>
      <t xml:space="preserve">DMS ES Contract Target
238
</t>
    </r>
    <r>
      <rPr>
        <sz val="11"/>
        <color rgb="FF70AD47"/>
        <rFont val="맑은 고딕"/>
        <family val="2"/>
        <scheme val="major"/>
      </rPr>
      <t>(20240228 수정)</t>
    </r>
  </si>
  <si>
    <r>
      <rPr>
        <sz val="11"/>
        <color rgb="FF000000"/>
        <rFont val="맑은 고딕"/>
        <family val="2"/>
        <scheme val="major"/>
      </rPr>
      <t xml:space="preserve">RDS ES Contract Target
238
</t>
    </r>
    <r>
      <rPr>
        <sz val="11"/>
        <color rgb="FF70AD47"/>
        <rFont val="맑은 고딕"/>
        <family val="2"/>
        <scheme val="major"/>
      </rPr>
      <t>(20240228 수정)</t>
    </r>
  </si>
  <si>
    <t>#_Seasonal_Target(N-2)
O</t>
  </si>
  <si>
    <t>N-1 Target</t>
  </si>
  <si>
    <r>
      <rPr>
        <sz val="11"/>
        <color rgb="FF000000"/>
        <rFont val="Arial"/>
        <family val="2"/>
      </rPr>
      <t xml:space="preserve">N-1 </t>
    </r>
    <r>
      <rPr>
        <sz val="11"/>
        <color rgb="FF000000"/>
        <rFont val="Arial Unicode MS"/>
        <family val="3"/>
        <charset val="129"/>
      </rPr>
      <t>계약 목표 보정치</t>
    </r>
  </si>
  <si>
    <r>
      <rPr>
        <sz val="11"/>
        <color rgb="FF000000"/>
        <rFont val="맑은 고딕"/>
        <family val="2"/>
        <scheme val="major"/>
      </rPr>
      <t xml:space="preserve">DMS ES Contract Target
250
</t>
    </r>
    <r>
      <rPr>
        <sz val="11"/>
        <color rgb="FF70AD47"/>
        <rFont val="맑은 고딕"/>
        <family val="2"/>
        <scheme val="major"/>
      </rPr>
      <t>(20240228 수정)</t>
    </r>
  </si>
  <si>
    <r>
      <rPr>
        <sz val="11"/>
        <color rgb="FF000000"/>
        <rFont val="맑은 고딕"/>
        <family val="2"/>
        <scheme val="major"/>
      </rPr>
      <t xml:space="preserve">RDS ES Contract Target
250
</t>
    </r>
    <r>
      <rPr>
        <sz val="11"/>
        <color rgb="FF70AD47"/>
        <rFont val="맑은 고딕"/>
        <family val="2"/>
        <scheme val="major"/>
      </rPr>
      <t>(20240228 수정)</t>
    </r>
  </si>
  <si>
    <t>#_Seasonal_Target(N-1)
O</t>
  </si>
  <si>
    <t>Target Avg 3M</t>
    <phoneticPr fontId="1" type="noConversion"/>
  </si>
  <si>
    <t>(N-1, N-2, N-3) Target 평균</t>
  </si>
  <si>
    <t>[#_Seasonal_Target(AVG)]
O</t>
  </si>
  <si>
    <t>Seasonal Sales Trend</t>
  </si>
  <si>
    <r>
      <rPr>
        <sz val="11"/>
        <color rgb="FF000000"/>
        <rFont val="Arial"/>
        <family val="2"/>
      </rPr>
      <t>N-3 출고</t>
    </r>
    <r>
      <rPr>
        <sz val="11"/>
        <color rgb="FF000000"/>
        <rFont val="Arial Unicode MS"/>
        <family val="3"/>
        <charset val="129"/>
      </rPr>
      <t xml:space="preserve"> 보정치</t>
    </r>
  </si>
  <si>
    <r>
      <rPr>
        <sz val="11"/>
        <color rgb="FF000000"/>
        <rFont val="맑은 고딕"/>
        <family val="2"/>
        <scheme val="major"/>
      </rPr>
      <t xml:space="preserve">DMS ES Sales MTD
103
</t>
    </r>
    <r>
      <rPr>
        <sz val="11"/>
        <color rgb="FF70AD47"/>
        <rFont val="맑은 고딕"/>
        <family val="2"/>
        <scheme val="major"/>
      </rPr>
      <t>(20240228 수정)</t>
    </r>
    <phoneticPr fontId="1" type="noConversion"/>
  </si>
  <si>
    <r>
      <rPr>
        <sz val="11"/>
        <color rgb="FF000000"/>
        <rFont val="맑은 고딕"/>
        <family val="2"/>
        <scheme val="major"/>
      </rPr>
      <t xml:space="preserve">RDS ES Sales MTD
103
</t>
    </r>
    <r>
      <rPr>
        <sz val="11"/>
        <color rgb="FF70AD47"/>
        <rFont val="맑은 고딕"/>
        <family val="2"/>
        <scheme val="major"/>
      </rPr>
      <t>(20240228 수정)</t>
    </r>
  </si>
  <si>
    <t>[#_Sales_Seasonal_Result(N-3)]
O</t>
  </si>
  <si>
    <r>
      <rPr>
        <sz val="11"/>
        <color rgb="FF000000"/>
        <rFont val="Arial"/>
        <family val="2"/>
      </rPr>
      <t xml:space="preserve">N-2 출고 </t>
    </r>
    <r>
      <rPr>
        <sz val="11"/>
        <color rgb="FF000000"/>
        <rFont val="굴림"/>
        <family val="3"/>
        <charset val="129"/>
      </rPr>
      <t>보정치</t>
    </r>
  </si>
  <si>
    <r>
      <rPr>
        <sz val="11"/>
        <color rgb="FF000000"/>
        <rFont val="맑은 고딕"/>
        <family val="2"/>
        <scheme val="major"/>
      </rPr>
      <t xml:space="preserve">DMS ES Sales MTD
119
</t>
    </r>
    <r>
      <rPr>
        <sz val="11"/>
        <color rgb="FF70AD47"/>
        <rFont val="맑은 고딕"/>
        <family val="2"/>
        <scheme val="major"/>
      </rPr>
      <t>(20240228 수정)</t>
    </r>
    <phoneticPr fontId="1" type="noConversion"/>
  </si>
  <si>
    <r>
      <rPr>
        <sz val="11"/>
        <color rgb="FF000000"/>
        <rFont val="맑은 고딕"/>
        <family val="2"/>
        <scheme val="major"/>
      </rPr>
      <t xml:space="preserve">RDS ES Sales MTD
119
</t>
    </r>
    <r>
      <rPr>
        <sz val="11"/>
        <color rgb="FF70AD47"/>
        <rFont val="맑은 고딕"/>
        <family val="2"/>
        <scheme val="major"/>
      </rPr>
      <t>(20240228 수정)</t>
    </r>
  </si>
  <si>
    <t>[#_Sales_Seasonal_Result(N-2)]
O</t>
  </si>
  <si>
    <r>
      <rPr>
        <sz val="11"/>
        <color rgb="FF000000"/>
        <rFont val="Arial"/>
        <family val="2"/>
      </rPr>
      <t>N-1 출고</t>
    </r>
    <r>
      <rPr>
        <sz val="11"/>
        <color rgb="FF000000"/>
        <rFont val="Arial Unicode MS"/>
        <family val="3"/>
        <charset val="129"/>
      </rPr>
      <t xml:space="preserve"> 보정치</t>
    </r>
  </si>
  <si>
    <r>
      <rPr>
        <sz val="11"/>
        <color rgb="FF000000"/>
        <rFont val="맑은 고딕"/>
        <family val="2"/>
        <scheme val="major"/>
      </rPr>
      <t xml:space="preserve">DMS ES Sales MTD
256
</t>
    </r>
    <r>
      <rPr>
        <sz val="11"/>
        <color rgb="FF70AD47"/>
        <rFont val="맑은 고딕"/>
        <family val="2"/>
        <scheme val="major"/>
      </rPr>
      <t>(20240228 수정)</t>
    </r>
    <phoneticPr fontId="1" type="noConversion"/>
  </si>
  <si>
    <r>
      <rPr>
        <sz val="11"/>
        <color rgb="FF000000"/>
        <rFont val="맑은 고딕"/>
        <family val="2"/>
        <scheme val="major"/>
      </rPr>
      <t xml:space="preserve">RDS ES Sales MTD
256
</t>
    </r>
    <r>
      <rPr>
        <sz val="11"/>
        <color rgb="FF70AD47"/>
        <rFont val="맑은 고딕"/>
        <family val="2"/>
        <scheme val="major"/>
      </rPr>
      <t>(20240228 수정)</t>
    </r>
  </si>
  <si>
    <t>[#_Sales_Seasonal_Result(N-1)]
O</t>
  </si>
  <si>
    <t>[#_Sales_Seasonal_Result(AVG))]
O</t>
    <phoneticPr fontId="1" type="noConversion"/>
  </si>
  <si>
    <r>
      <rPr>
        <sz val="11"/>
        <color rgb="FF000000"/>
        <rFont val="Arial"/>
        <family val="2"/>
      </rPr>
      <t>N-3 출고</t>
    </r>
    <r>
      <rPr>
        <sz val="11"/>
        <color rgb="FF000000"/>
        <rFont val="Arial Unicode MS"/>
        <family val="3"/>
        <charset val="129"/>
      </rPr>
      <t xml:space="preserve"> 목표 보정치</t>
    </r>
  </si>
  <si>
    <r>
      <rPr>
        <sz val="11"/>
        <color rgb="FF000000"/>
        <rFont val="맑은 고딕"/>
        <family val="2"/>
        <scheme val="major"/>
      </rPr>
      <t xml:space="preserve">DMS ES Sales Target
127
</t>
    </r>
    <r>
      <rPr>
        <sz val="11"/>
        <color rgb="FF70AD47"/>
        <rFont val="맑은 고딕"/>
        <family val="2"/>
        <scheme val="major"/>
      </rPr>
      <t>(20240228 수정)</t>
    </r>
    <phoneticPr fontId="1" type="noConversion"/>
  </si>
  <si>
    <r>
      <rPr>
        <sz val="11"/>
        <color rgb="FF000000"/>
        <rFont val="Calibri Light"/>
        <family val="2"/>
      </rPr>
      <t xml:space="preserve">ES Seasonal index
100
</t>
    </r>
    <r>
      <rPr>
        <sz val="11"/>
        <color rgb="FF70AD47"/>
        <rFont val="Calibri Light"/>
        <family val="2"/>
      </rPr>
      <t>(20240228 수정)</t>
    </r>
  </si>
  <si>
    <r>
      <rPr>
        <sz val="11"/>
        <color rgb="FF000000"/>
        <rFont val="맑은 고딕"/>
        <family val="2"/>
        <scheme val="major"/>
      </rPr>
      <t xml:space="preserve">RDS ES Sales Target
127
</t>
    </r>
    <r>
      <rPr>
        <sz val="11"/>
        <color rgb="FF70AD47"/>
        <rFont val="맑은 고딕"/>
        <family val="2"/>
        <scheme val="major"/>
      </rPr>
      <t>(20240228 수정)</t>
    </r>
    <phoneticPr fontId="1" type="noConversion"/>
  </si>
  <si>
    <t>[#_Sales_Seasonal_Target(N-3)]
O</t>
  </si>
  <si>
    <r>
      <rPr>
        <sz val="11"/>
        <color rgb="FF000000"/>
        <rFont val="Arial"/>
        <family val="2"/>
      </rPr>
      <t xml:space="preserve">N-2 출고 </t>
    </r>
    <r>
      <rPr>
        <sz val="11"/>
        <color rgb="FF000000"/>
        <rFont val="Arial Unicode MS"/>
        <family val="3"/>
        <charset val="129"/>
      </rPr>
      <t xml:space="preserve">목표 </t>
    </r>
    <r>
      <rPr>
        <sz val="11"/>
        <color rgb="FF000000"/>
        <rFont val="굴림"/>
        <family val="3"/>
        <charset val="129"/>
      </rPr>
      <t>보정치</t>
    </r>
  </si>
  <si>
    <r>
      <rPr>
        <sz val="11"/>
        <color rgb="FF000000"/>
        <rFont val="맑은 고딕"/>
        <family val="2"/>
        <scheme val="major"/>
      </rPr>
      <t xml:space="preserve">DMS ES Sales Target
111
</t>
    </r>
    <r>
      <rPr>
        <sz val="11"/>
        <color rgb="FF70AD47"/>
        <rFont val="맑은 고딕"/>
        <family val="2"/>
        <scheme val="major"/>
      </rPr>
      <t>(20240228 수정)</t>
    </r>
    <phoneticPr fontId="1" type="noConversion"/>
  </si>
  <si>
    <r>
      <rPr>
        <sz val="11"/>
        <color rgb="FF000000"/>
        <rFont val="Calibri Light"/>
        <family val="2"/>
      </rPr>
      <t xml:space="preserve">ES Seasonal index
106
</t>
    </r>
    <r>
      <rPr>
        <sz val="11"/>
        <color rgb="FF70AD47"/>
        <rFont val="Calibri Light"/>
        <family val="2"/>
      </rPr>
      <t>(20240228 수정)</t>
    </r>
  </si>
  <si>
    <r>
      <rPr>
        <sz val="11"/>
        <color rgb="FF000000"/>
        <rFont val="맑은 고딕"/>
        <family val="2"/>
        <scheme val="major"/>
      </rPr>
      <t xml:space="preserve">RDS ES Sales Target
111
</t>
    </r>
    <r>
      <rPr>
        <sz val="11"/>
        <color rgb="FF70AD47"/>
        <rFont val="맑은 고딕"/>
        <family val="2"/>
        <scheme val="major"/>
      </rPr>
      <t>(20240228 수정)</t>
    </r>
    <phoneticPr fontId="1" type="noConversion"/>
  </si>
  <si>
    <t>[#_Sales_Seasonal_Target(N-2)]
O</t>
  </si>
  <si>
    <r>
      <rPr>
        <sz val="11"/>
        <color rgb="FF000000"/>
        <rFont val="Arial"/>
        <family val="2"/>
      </rPr>
      <t>N-1 출고</t>
    </r>
    <r>
      <rPr>
        <sz val="11"/>
        <color rgb="FF000000"/>
        <rFont val="Arial Unicode MS"/>
        <family val="3"/>
        <charset val="129"/>
      </rPr>
      <t xml:space="preserve"> 목표 보정치</t>
    </r>
  </si>
  <si>
    <r>
      <rPr>
        <sz val="11"/>
        <color rgb="FF000000"/>
        <rFont val="Calibri Light"/>
        <scheme val="major"/>
      </rPr>
      <t xml:space="preserve">DMS ES Sales Target
288
</t>
    </r>
    <r>
      <rPr>
        <sz val="11"/>
        <color rgb="FF70AD47"/>
        <rFont val="Calibri Light"/>
        <scheme val="major"/>
      </rPr>
      <t>(20240228 수정)</t>
    </r>
  </si>
  <si>
    <r>
      <rPr>
        <sz val="11"/>
        <color rgb="FF000000"/>
        <rFont val="Calibri Light"/>
        <family val="2"/>
      </rPr>
      <t xml:space="preserve">ES Seasonal index
113
</t>
    </r>
    <r>
      <rPr>
        <sz val="11"/>
        <color rgb="FF70AD47"/>
        <rFont val="Calibri Light"/>
        <family val="2"/>
      </rPr>
      <t>(20240228 수정)</t>
    </r>
  </si>
  <si>
    <r>
      <rPr>
        <sz val="11"/>
        <color rgb="FF000000"/>
        <rFont val="Calibri Light"/>
        <scheme val="major"/>
      </rPr>
      <t xml:space="preserve">RDS ES Sales Target
288
</t>
    </r>
    <r>
      <rPr>
        <sz val="11"/>
        <color rgb="FF70AD47"/>
        <rFont val="Calibri Light"/>
        <scheme val="major"/>
      </rPr>
      <t>(20240228 수정)</t>
    </r>
  </si>
  <si>
    <t>[#_Sales_Seasonal_Target(N-1)]
O</t>
  </si>
  <si>
    <t>[#_Sales_Seasonal_Target(AVG)]
O</t>
  </si>
  <si>
    <t>DLR Activity
with Conversion Ratio</t>
    <phoneticPr fontId="1" type="noConversion"/>
  </si>
  <si>
    <t>Comparision with 
Previous Trend</t>
    <phoneticPr fontId="1" type="noConversion"/>
  </si>
  <si>
    <t>Showroom Traffic</t>
    <phoneticPr fontId="1" type="noConversion"/>
  </si>
  <si>
    <r>
      <t xml:space="preserve">Showroom Traffic: DMS &gt; [Daily Showroom Report]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>Showroom Traffic - Sales Status &gt; Showroom Traffic &gt; Total(</t>
    </r>
    <r>
      <rPr>
        <sz val="11"/>
        <color theme="1"/>
        <rFont val="Arial Unicode MS"/>
        <family val="2"/>
        <charset val="129"/>
      </rPr>
      <t>해당 월</t>
    </r>
    <r>
      <rPr>
        <sz val="11"/>
        <color theme="1"/>
        <rFont val="Arial"/>
        <family val="2"/>
      </rPr>
      <t>)</t>
    </r>
    <phoneticPr fontId="1" type="noConversion"/>
  </si>
  <si>
    <t>DMS Showroom Traffic Result
159</t>
    <phoneticPr fontId="1" type="noConversion"/>
  </si>
  <si>
    <t>RDS Showroom Traffic Result
159</t>
    <phoneticPr fontId="1" type="noConversion"/>
  </si>
  <si>
    <t>[#_Showroom_Traffic(M)]
O</t>
  </si>
  <si>
    <t>Test drive</t>
  </si>
  <si>
    <r>
      <t xml:space="preserve">Test drive: DMS &gt; [Daily Showroom Report]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>Showroom Traffic - Sales Status &gt; Test Drive &gt; Test Drive Total(</t>
    </r>
    <r>
      <rPr>
        <sz val="11"/>
        <color theme="1"/>
        <rFont val="Arial Unicode MS"/>
        <family val="2"/>
        <charset val="129"/>
      </rPr>
      <t>해당 월</t>
    </r>
    <r>
      <rPr>
        <sz val="11"/>
        <color theme="1"/>
        <rFont val="Arial"/>
        <family val="2"/>
      </rPr>
      <t>)</t>
    </r>
    <phoneticPr fontId="1" type="noConversion"/>
  </si>
  <si>
    <t>DMS Test Drive Result
482</t>
    <phoneticPr fontId="1" type="noConversion"/>
  </si>
  <si>
    <t>RDS Test Drive Result
482</t>
    <phoneticPr fontId="1" type="noConversion"/>
  </si>
  <si>
    <t>[#_Showroom_TestDrive(M)]
O</t>
  </si>
  <si>
    <t>Test Drive %</t>
    <phoneticPr fontId="1" type="noConversion"/>
  </si>
  <si>
    <t>시승 전환률</t>
    <phoneticPr fontId="1" type="noConversion"/>
  </si>
  <si>
    <r>
      <t xml:space="preserve">Showroom Traffic: DMS &gt; [Daily Showroom Report]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>Showroom Traffic - Sales Status &gt; Showroom Traffic &gt; Total(</t>
    </r>
    <r>
      <rPr>
        <sz val="11"/>
        <color theme="1"/>
        <rFont val="Arial Unicode MS"/>
        <family val="2"/>
        <charset val="129"/>
      </rPr>
      <t>해당 월</t>
    </r>
    <r>
      <rPr>
        <sz val="11"/>
        <color theme="1"/>
        <rFont val="Arial"/>
        <family val="2"/>
      </rPr>
      <t xml:space="preserve">)
Test drive: DMS &gt; [Daily Showroom Report]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Showroom Traffic - Sales Status &gt; Test Drive &gt; Test Drive Total(</t>
    </r>
    <r>
      <rPr>
        <sz val="11"/>
        <color theme="1"/>
        <rFont val="Arial Unicode MS"/>
        <family val="2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월</t>
    </r>
    <r>
      <rPr>
        <sz val="11"/>
        <color theme="1"/>
        <rFont val="Arial"/>
        <family val="2"/>
      </rPr>
      <t>)</t>
    </r>
    <phoneticPr fontId="1" type="noConversion"/>
  </si>
  <si>
    <t>[#_TestDrive_Ratio(시승 전환율)
O</t>
  </si>
  <si>
    <t>Contract</t>
    <phoneticPr fontId="1" type="noConversion"/>
  </si>
  <si>
    <r>
      <t xml:space="preserve">Contract: DMS &gt; [Daily Showroom Report]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>Showroom Traffic - Sales Status &gt; Contract(</t>
    </r>
    <r>
      <rPr>
        <sz val="11"/>
        <color theme="1"/>
        <rFont val="Arial Unicode MS"/>
        <family val="2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월</t>
    </r>
    <r>
      <rPr>
        <sz val="11"/>
        <color theme="1"/>
        <rFont val="Arial"/>
        <family val="2"/>
      </rPr>
      <t>)</t>
    </r>
    <phoneticPr fontId="1" type="noConversion"/>
  </si>
  <si>
    <t xml:space="preserve"> -</t>
    <phoneticPr fontId="1" type="noConversion"/>
  </si>
  <si>
    <t>[#_Contract_CurrentPace]
O</t>
  </si>
  <si>
    <t>Contract %</t>
    <phoneticPr fontId="1" type="noConversion"/>
  </si>
  <si>
    <t>계약 전환률</t>
    <phoneticPr fontId="1" type="noConversion"/>
  </si>
  <si>
    <r>
      <t xml:space="preserve">Test drive: DMS &gt; [Daily Showroom Report]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>Showroom Traffic - Sales Status &gt; Test Drive &gt; Test Drive Total(</t>
    </r>
    <r>
      <rPr>
        <sz val="11"/>
        <color theme="1"/>
        <rFont val="Arial Unicode MS"/>
        <family val="2"/>
        <charset val="129"/>
      </rPr>
      <t>해당 월</t>
    </r>
    <r>
      <rPr>
        <sz val="11"/>
        <color theme="1"/>
        <rFont val="Arial"/>
        <family val="2"/>
      </rPr>
      <t xml:space="preserve">)
Contracct: DMS &gt; [Daily Showroom Report]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Showroom Traffic - Sales Status &gt; Contract(</t>
    </r>
    <r>
      <rPr>
        <sz val="11"/>
        <color theme="1"/>
        <rFont val="Arial Unicode MS"/>
        <family val="2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월</t>
    </r>
    <r>
      <rPr>
        <sz val="11"/>
        <color theme="1"/>
        <rFont val="Arial"/>
        <family val="2"/>
      </rPr>
      <t>)</t>
    </r>
    <phoneticPr fontId="1" type="noConversion"/>
  </si>
  <si>
    <t>DMS Contract Result
258</t>
    <phoneticPr fontId="1" type="noConversion"/>
  </si>
  <si>
    <t>RDS Contract Result
258</t>
    <phoneticPr fontId="1" type="noConversion"/>
  </si>
  <si>
    <t>[#_Contract_Ratio(계약 전환율)]
O</t>
  </si>
  <si>
    <r>
      <t xml:space="preserve">Sales: DMS &gt; [Daily Showroom Report]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>Showroom Traffic - Sales Status &gt; Sales(</t>
    </r>
    <r>
      <rPr>
        <sz val="11"/>
        <color theme="1"/>
        <rFont val="Arial Unicode MS"/>
        <family val="2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월</t>
    </r>
    <r>
      <rPr>
        <sz val="11"/>
        <color theme="1"/>
        <rFont val="Arial"/>
        <family val="2"/>
      </rPr>
      <t>)</t>
    </r>
  </si>
  <si>
    <t>[#_Sales_CurrentPace]
O</t>
  </si>
  <si>
    <t>Sales %</t>
    <phoneticPr fontId="1" type="noConversion"/>
  </si>
  <si>
    <t>출고 전환률</t>
    <phoneticPr fontId="1" type="noConversion"/>
  </si>
  <si>
    <r>
      <t xml:space="preserve">Contract: DMS &gt; [Daily Showroom Report]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Showroom Traffic - Sales Status &gt; Contract(</t>
    </r>
    <r>
      <rPr>
        <sz val="11"/>
        <color theme="1"/>
        <rFont val="Arial Unicode MS"/>
        <family val="2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월</t>
    </r>
    <r>
      <rPr>
        <sz val="11"/>
        <color theme="1"/>
        <rFont val="Arial"/>
        <family val="2"/>
      </rPr>
      <t xml:space="preserve">)
Sales: DMS &gt; [Daily Showroom Report]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>Showroom Traffic - Sales Status &gt; Sales(</t>
    </r>
    <r>
      <rPr>
        <sz val="11"/>
        <color theme="1"/>
        <rFont val="Arial Unicode MS"/>
        <family val="2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월</t>
    </r>
    <r>
      <rPr>
        <sz val="11"/>
        <color theme="1"/>
        <rFont val="Arial"/>
        <family val="2"/>
      </rPr>
      <t>)</t>
    </r>
    <phoneticPr fontId="1" type="noConversion"/>
  </si>
  <si>
    <t>DMS Sales Result
145</t>
    <phoneticPr fontId="1" type="noConversion"/>
  </si>
  <si>
    <t>RDS Sales Result
145</t>
    <phoneticPr fontId="1" type="noConversion"/>
  </si>
  <si>
    <t>[#_Contract_Ratio(출고 전환율)]
O</t>
  </si>
  <si>
    <t>Comparision with Target</t>
    <phoneticPr fontId="1" type="noConversion"/>
  </si>
  <si>
    <t>T/D</t>
    <phoneticPr fontId="1" type="noConversion"/>
  </si>
  <si>
    <t>T/D Monthly Target</t>
    <phoneticPr fontId="1" type="noConversion"/>
  </si>
  <si>
    <t>목표치 사용을 위해 관리가 필요함
(현재 일부 날짜의 목표치가 없을 수 있음)</t>
    <phoneticPr fontId="1" type="noConversion"/>
  </si>
  <si>
    <t>시승 월 목표</t>
    <phoneticPr fontId="1" type="noConversion"/>
  </si>
  <si>
    <r>
      <t xml:space="preserve">Test drive: DMS &gt; [Daily Showroom Report]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Arial"/>
        <family val="2"/>
      </rPr>
      <t xml:space="preserve"> Showroom Traffic - Sales Status &gt; Test Drive &gt; Test Drive Total(</t>
    </r>
    <r>
      <rPr>
        <sz val="11"/>
        <color theme="1"/>
        <rFont val="돋움"/>
        <family val="3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Arial"/>
        <family val="2"/>
      </rPr>
      <t>) &gt; Target</t>
    </r>
    <phoneticPr fontId="1" type="noConversion"/>
  </si>
  <si>
    <t>DMS ES Test Drive Target
176</t>
    <phoneticPr fontId="1" type="noConversion"/>
  </si>
  <si>
    <t>RDS ES Test Drive Target
176</t>
  </si>
  <si>
    <t xml:space="preserve">
[#_TestDrive_Target(M)_view]
O
</t>
  </si>
  <si>
    <t>T/D Daily Target</t>
  </si>
  <si>
    <t>현재 시승 목표치는 월 별로 관리 중,
임시로 계약 목표치와 비례하여 차종,
일자 별로 자동계산 되도록 로직 사용
(추후 바뀔 수 있음)</t>
    <phoneticPr fontId="1" type="noConversion"/>
  </si>
  <si>
    <t>시승 목표 MTD</t>
  </si>
  <si>
    <t>DMS ES Test Drive Daily Target
2023-01-15 (85)</t>
    <phoneticPr fontId="1" type="noConversion"/>
  </si>
  <si>
    <t>RDS ES Test Drive Daily Target
2023-01-15 (85)</t>
  </si>
  <si>
    <t>[#_TestDrive_Target(D)_view_MTD]
O</t>
  </si>
  <si>
    <t>T/D Result</t>
  </si>
  <si>
    <t>시승 고객 수</t>
    <phoneticPr fontId="1" type="noConversion"/>
  </si>
  <si>
    <t>DMS ES Test Drive Daily Result
2023-01-15 (166)</t>
    <phoneticPr fontId="1" type="noConversion"/>
  </si>
  <si>
    <t>RDS ES Test Drive Daily Result
2023-01-15 (166)</t>
  </si>
  <si>
    <t>[#_TestDrive_Result(D)_view_MTD]
O</t>
  </si>
  <si>
    <t>T/D Gap</t>
  </si>
  <si>
    <t>목표 입력이 안 되었을 경우 0</t>
    <phoneticPr fontId="1" type="noConversion"/>
  </si>
  <si>
    <t>시승 목표 달성률</t>
    <phoneticPr fontId="1" type="noConversion"/>
  </si>
  <si>
    <r>
      <t xml:space="preserve">Test drive: DMS &gt; [Daily Showroom Report]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Arial"/>
        <family val="2"/>
      </rPr>
      <t xml:space="preserve"> Showroom Traffic - Sales Status &gt; Test Drive &gt; Test Drive Total(</t>
    </r>
    <r>
      <rPr>
        <sz val="11"/>
        <color theme="1"/>
        <rFont val="돋움"/>
        <family val="3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Arial"/>
        <family val="2"/>
      </rPr>
      <t xml:space="preserve">) &gt; Target
Test drive: DMS &gt; [Daily Showroom Report]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Showroom Traffic - Sales Status &gt; Test Drive &gt; Test Drive Total(</t>
    </r>
    <r>
      <rPr>
        <sz val="11"/>
        <color theme="1"/>
        <rFont val="Arial Unicode MS"/>
        <family val="2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월</t>
    </r>
    <r>
      <rPr>
        <sz val="11"/>
        <color theme="1"/>
        <rFont val="Arial"/>
        <family val="2"/>
      </rPr>
      <t>)</t>
    </r>
    <phoneticPr fontId="1" type="noConversion"/>
  </si>
  <si>
    <t>RDS ES Test Drive Daily Result
2023-01-15 (166)</t>
    <phoneticPr fontId="1" type="noConversion"/>
  </si>
  <si>
    <t>RDS ES Test Drive Target
2023-01-15 (85)</t>
  </si>
  <si>
    <t>[#_TestDrive_Gap(%)_view]
O</t>
  </si>
  <si>
    <t>Contract Monthly Target</t>
    <phoneticPr fontId="1" type="noConversion"/>
  </si>
  <si>
    <r>
      <t xml:space="preserve">Contract Target: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Contract &gt; </t>
    </r>
    <r>
      <rPr>
        <sz val="11"/>
        <color theme="1"/>
        <rFont val="Arial Unicode MS"/>
        <family val="2"/>
        <charset val="129"/>
      </rPr>
      <t>당월목표</t>
    </r>
    <phoneticPr fontId="1" type="noConversion"/>
  </si>
  <si>
    <t>[#_Contract_Target(M)_view]
O</t>
  </si>
  <si>
    <t>Contracct Daily Target</t>
    <phoneticPr fontId="1" type="noConversion"/>
  </si>
  <si>
    <t>DMS ES Contract Daily Target
2023-01-15 (74)</t>
    <phoneticPr fontId="1" type="noConversion"/>
  </si>
  <si>
    <t>RDS ES Contract Daily Target
2023-01-15 (74)</t>
    <phoneticPr fontId="1" type="noConversion"/>
  </si>
  <si>
    <t>[#_Contract_Target(D)_view_MTD]
O</t>
  </si>
  <si>
    <t>Contract MTD</t>
  </si>
  <si>
    <r>
      <t xml:space="preserve">Contract MTD: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Contract &gt; </t>
    </r>
    <r>
      <rPr>
        <sz val="11"/>
        <color theme="1"/>
        <rFont val="Arial Unicode MS"/>
        <family val="2"/>
        <charset val="129"/>
      </rPr>
      <t>당월실적</t>
    </r>
    <phoneticPr fontId="1" type="noConversion"/>
  </si>
  <si>
    <t>DMS ES Contract Daily Result
2023-01-15 (65)</t>
    <phoneticPr fontId="1" type="noConversion"/>
  </si>
  <si>
    <t>RDS ES Contract Daily Result
2023-01-15 (65)</t>
    <phoneticPr fontId="1" type="noConversion"/>
  </si>
  <si>
    <t>[#_Contract_Result(D)_view_MTD]
O</t>
  </si>
  <si>
    <t>Contract Gap</t>
    <phoneticPr fontId="1" type="noConversion"/>
  </si>
  <si>
    <r>
      <rPr>
        <sz val="11"/>
        <color theme="1"/>
        <rFont val="Arial Unicode MS"/>
        <family val="2"/>
        <charset val="129"/>
      </rPr>
      <t>계약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목표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Arial Unicode MS"/>
        <family val="2"/>
        <charset val="129"/>
      </rPr>
      <t>달성률</t>
    </r>
    <phoneticPr fontId="1" type="noConversion"/>
  </si>
  <si>
    <r>
      <t xml:space="preserve">Contract Target: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DAILY TREND &gt; 
Contract &gt; </t>
    </r>
    <r>
      <rPr>
        <sz val="11"/>
        <color theme="1"/>
        <rFont val="Arial Unicode MS"/>
        <family val="2"/>
        <charset val="129"/>
      </rPr>
      <t>진도목표</t>
    </r>
    <r>
      <rPr>
        <sz val="11"/>
        <color theme="1"/>
        <rFont val="Arial"/>
        <family val="2"/>
      </rPr>
      <t xml:space="preserve">
Contract MTD: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DAILY TREND &gt; 
Contract &gt; </t>
    </r>
    <r>
      <rPr>
        <sz val="11"/>
        <color theme="1"/>
        <rFont val="Arial Unicode MS"/>
        <family val="2"/>
        <charset val="129"/>
      </rPr>
      <t>당월실적</t>
    </r>
    <phoneticPr fontId="1" type="noConversion"/>
  </si>
  <si>
    <t>RDS ES Contract Daily Target
2023-01-15 (74)</t>
  </si>
  <si>
    <t>[#_Contract_Gap(%)_view]
O</t>
  </si>
  <si>
    <t>Conversion</t>
    <phoneticPr fontId="1" type="noConversion"/>
  </si>
  <si>
    <t>Target Conversion</t>
    <phoneticPr fontId="1" type="noConversion"/>
  </si>
  <si>
    <t>목표 계약 전환률</t>
    <phoneticPr fontId="1" type="noConversion"/>
  </si>
  <si>
    <r>
      <t xml:space="preserve">Test drive: DMS &gt; [Daily Showroom Report]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Arial"/>
        <family val="2"/>
      </rPr>
      <t xml:space="preserve"> Showroom Traffic - Sales Status &gt; Test Drive &gt; Test Drive Total(</t>
    </r>
    <r>
      <rPr>
        <sz val="11"/>
        <color theme="1"/>
        <rFont val="돋움"/>
        <family val="3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Arial"/>
        <family val="2"/>
      </rPr>
      <t xml:space="preserve">) &gt; Target
Contract Target: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DAILY TREND &gt; 
Contract &gt; </t>
    </r>
    <r>
      <rPr>
        <sz val="11"/>
        <color theme="1"/>
        <rFont val="Arial Unicode MS"/>
        <family val="2"/>
        <charset val="129"/>
      </rPr>
      <t>당월목표</t>
    </r>
    <phoneticPr fontId="1" type="noConversion"/>
  </si>
  <si>
    <t>RDS Test Drive Target
176</t>
    <phoneticPr fontId="1" type="noConversion"/>
  </si>
  <si>
    <t>[#_Target_Conversion(%)_(M)_view]
O</t>
  </si>
  <si>
    <t>Daily Target Conversion</t>
    <phoneticPr fontId="1" type="noConversion"/>
  </si>
  <si>
    <r>
      <rPr>
        <sz val="11"/>
        <color theme="1"/>
        <rFont val="Arial"/>
        <family val="2"/>
      </rPr>
      <t xml:space="preserve">Daily </t>
    </r>
    <r>
      <rPr>
        <sz val="11"/>
        <color theme="1"/>
        <rFont val="Arial Unicode MS"/>
        <family val="2"/>
        <charset val="129"/>
      </rPr>
      <t>목표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계약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전환률</t>
    </r>
    <phoneticPr fontId="1" type="noConversion"/>
  </si>
  <si>
    <r>
      <t xml:space="preserve">Test drive: DMS &gt; [Daily Showroom Report]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Showroom Traffic - Sales Status &gt; Test Drive &gt; Test Drive Total(</t>
    </r>
    <r>
      <rPr>
        <sz val="11"/>
        <color theme="1"/>
        <rFont val="Arial Unicode MS"/>
        <family val="2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월</t>
    </r>
    <r>
      <rPr>
        <sz val="11"/>
        <color theme="1"/>
        <rFont val="Arial"/>
        <family val="2"/>
      </rPr>
      <t xml:space="preserve">) &gt; Target
Contract Target: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DAILY TREND &gt; 
Contract &gt; </t>
    </r>
    <r>
      <rPr>
        <sz val="11"/>
        <color theme="1"/>
        <rFont val="Arial Unicode MS"/>
        <family val="2"/>
        <charset val="129"/>
      </rPr>
      <t>진도목표</t>
    </r>
    <phoneticPr fontId="1" type="noConversion"/>
  </si>
  <si>
    <t>RDS ES Test Drive Daily Target
2023-01-15 (85)</t>
    <phoneticPr fontId="1" type="noConversion"/>
  </si>
  <si>
    <t>[#_Target_Conversion(%)_(D)_view]
O</t>
  </si>
  <si>
    <t>Daily Result Conversion</t>
    <phoneticPr fontId="1" type="noConversion"/>
  </si>
  <si>
    <t>Daily 계약 전환률</t>
    <phoneticPr fontId="1" type="noConversion"/>
  </si>
  <si>
    <r>
      <t xml:space="preserve">Test drive: DMS &gt; [Daily Showroom Report]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>Showroom Traffic - Sales Status &gt; Test Drive &gt; Test Drive Total(</t>
    </r>
    <r>
      <rPr>
        <sz val="11"/>
        <color theme="1"/>
        <rFont val="Arial Unicode MS"/>
        <family val="2"/>
        <charset val="129"/>
      </rPr>
      <t>해당 월</t>
    </r>
    <r>
      <rPr>
        <sz val="11"/>
        <color theme="1"/>
        <rFont val="Arial"/>
        <family val="2"/>
      </rPr>
      <t xml:space="preserve">)
Contract: DMS &gt; [Daily Showroom Report]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Showroom Traffic - Sales Status &gt; Contract(</t>
    </r>
    <r>
      <rPr>
        <sz val="11"/>
        <color theme="1"/>
        <rFont val="Arial Unicode MS"/>
        <family val="2"/>
        <charset val="129"/>
      </rPr>
      <t>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월</t>
    </r>
    <r>
      <rPr>
        <sz val="11"/>
        <color theme="1"/>
        <rFont val="Arial"/>
        <family val="2"/>
      </rPr>
      <t>)</t>
    </r>
    <phoneticPr fontId="1" type="noConversion"/>
  </si>
  <si>
    <t>DMS ES Contract Daily Result
2023-01-15 (65)</t>
  </si>
  <si>
    <t>RDS ES Contract Daily Result
2023-01-15 (65)</t>
  </si>
  <si>
    <t xml:space="preserve">
[#_Result_Conversion(%)_(D)_view]
O</t>
  </si>
  <si>
    <t>Conversion Gap</t>
    <phoneticPr fontId="1" type="noConversion"/>
  </si>
  <si>
    <r>
      <rPr>
        <sz val="11"/>
        <color theme="1"/>
        <rFont val="Arial Unicode MS"/>
        <family val="2"/>
        <charset val="129"/>
      </rPr>
      <t xml:space="preserve">계약 전환률 </t>
    </r>
    <r>
      <rPr>
        <sz val="11"/>
        <color theme="1"/>
        <rFont val="Arial"/>
        <family val="2"/>
      </rPr>
      <t>MTD</t>
    </r>
    <r>
      <rPr>
        <sz val="11"/>
        <color theme="1"/>
        <rFont val="Arial"/>
        <family val="2"/>
        <charset val="129"/>
      </rPr>
      <t xml:space="preserve"> - </t>
    </r>
    <r>
      <rPr>
        <sz val="11"/>
        <color theme="1"/>
        <rFont val="Arial Unicode MS"/>
        <family val="2"/>
        <charset val="129"/>
      </rPr>
      <t>목표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Arial Unicode MS"/>
        <family val="2"/>
        <charset val="129"/>
      </rPr>
      <t>계약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Arial Unicode MS"/>
        <family val="2"/>
        <charset val="129"/>
      </rPr>
      <t>전환률</t>
    </r>
    <r>
      <rPr>
        <sz val="11"/>
        <color theme="1"/>
        <rFont val="Arial"/>
        <family val="2"/>
        <charset val="129"/>
      </rPr>
      <t xml:space="preserve"> MTD</t>
    </r>
    <phoneticPr fontId="1" type="noConversion"/>
  </si>
  <si>
    <t>Daily Result Conversion - 
Daily Target Conversion</t>
  </si>
  <si>
    <t>[#_Conversion_Gap(%)_view]
O</t>
  </si>
  <si>
    <t>Other KPIs</t>
  </si>
  <si>
    <t>Stock Month</t>
  </si>
  <si>
    <t>Lexus Stock Month</t>
  </si>
  <si>
    <r>
      <t xml:space="preserve"> -DMS </t>
    </r>
    <r>
      <rPr>
        <sz val="11"/>
        <color theme="1"/>
        <rFont val="맑은 고딕"/>
        <family val="3"/>
        <charset val="129"/>
      </rPr>
      <t>기존</t>
    </r>
    <r>
      <rPr>
        <sz val="11"/>
        <color theme="1"/>
        <rFont val="Arial"/>
        <family val="2"/>
      </rPr>
      <t xml:space="preserve"> Stock Month </t>
    </r>
    <r>
      <rPr>
        <sz val="11"/>
        <color theme="1"/>
        <rFont val="맑은 고딕"/>
        <family val="3"/>
        <charset val="129"/>
      </rPr>
      <t>계산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공식과</t>
    </r>
    <r>
      <rPr>
        <sz val="11"/>
        <color theme="1"/>
        <rFont val="Arial"/>
        <family val="3"/>
      </rPr>
      <t xml:space="preserve">
</t>
    </r>
    <r>
      <rPr>
        <sz val="11"/>
        <color theme="1"/>
        <rFont val="Arial"/>
        <family val="2"/>
      </rPr>
      <t xml:space="preserve">  </t>
    </r>
    <r>
      <rPr>
        <sz val="11"/>
        <color theme="1"/>
        <rFont val="맑은 고딕"/>
        <family val="3"/>
        <charset val="129"/>
      </rPr>
      <t>다르게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계산</t>
    </r>
    <r>
      <rPr>
        <sz val="11"/>
        <color theme="1"/>
        <rFont val="Arial"/>
        <family val="2"/>
      </rPr>
      <t xml:space="preserve">,
  </t>
    </r>
    <r>
      <rPr>
        <sz val="11"/>
        <color theme="1"/>
        <rFont val="맑은 고딕"/>
        <family val="3"/>
        <charset val="129"/>
      </rPr>
      <t>따라서</t>
    </r>
    <r>
      <rPr>
        <sz val="11"/>
        <color theme="1"/>
        <rFont val="Arial"/>
        <family val="2"/>
      </rPr>
      <t xml:space="preserve"> DMS </t>
    </r>
    <r>
      <rPr>
        <sz val="11"/>
        <color theme="1"/>
        <rFont val="맑은 고딕"/>
        <family val="3"/>
        <charset val="129"/>
      </rPr>
      <t>화면의</t>
    </r>
    <r>
      <rPr>
        <sz val="11"/>
        <color theme="1"/>
        <rFont val="Arial"/>
        <family val="2"/>
      </rPr>
      <t xml:space="preserve"> Stock Month</t>
    </r>
    <r>
      <rPr>
        <sz val="11"/>
        <color theme="1"/>
        <rFont val="맑은 고딕"/>
        <family val="3"/>
        <charset val="129"/>
      </rPr>
      <t>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다름</t>
    </r>
    <r>
      <rPr>
        <sz val="11"/>
        <color theme="1"/>
        <rFont val="Arial"/>
        <family val="3"/>
      </rPr>
      <t xml:space="preserve">
</t>
    </r>
    <r>
      <rPr>
        <sz val="11"/>
        <color theme="1"/>
        <rFont val="Arial"/>
        <family val="2"/>
      </rPr>
      <t xml:space="preserve"> -DMS</t>
    </r>
    <r>
      <rPr>
        <sz val="11"/>
        <color theme="1"/>
        <rFont val="맑은 고딕"/>
        <family val="3"/>
        <charset val="129"/>
      </rPr>
      <t>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마감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당시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데이터로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조회하고</t>
    </r>
    <r>
      <rPr>
        <sz val="11"/>
        <color theme="1"/>
        <rFont val="Arial"/>
        <family val="3"/>
      </rPr>
      <t xml:space="preserve">
</t>
    </r>
    <r>
      <rPr>
        <sz val="11"/>
        <color theme="1"/>
        <rFont val="Arial"/>
        <family val="2"/>
      </rPr>
      <t xml:space="preserve">  RDS </t>
    </r>
    <r>
      <rPr>
        <sz val="11"/>
        <color theme="1"/>
        <rFont val="맑은 고딕"/>
        <family val="3"/>
        <charset val="129"/>
      </rPr>
      <t>현재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기준으로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조회하기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때문에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수치가</t>
    </r>
    <r>
      <rPr>
        <sz val="11"/>
        <color theme="1"/>
        <rFont val="Arial"/>
        <family val="2"/>
      </rPr>
      <t xml:space="preserve"> 
  </t>
    </r>
    <r>
      <rPr>
        <sz val="11"/>
        <color theme="1"/>
        <rFont val="맑은 고딕"/>
        <family val="3"/>
        <charset val="129"/>
      </rPr>
      <t>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있음</t>
    </r>
    <phoneticPr fontId="1" type="noConversion"/>
  </si>
  <si>
    <r>
      <rPr>
        <sz val="11"/>
        <color theme="1"/>
        <rFont val="Arial Unicode MS"/>
        <family val="2"/>
        <charset val="129"/>
      </rPr>
      <t xml:space="preserve">렉서스 </t>
    </r>
    <r>
      <rPr>
        <sz val="11"/>
        <color theme="1"/>
        <rFont val="Arial"/>
        <family val="2"/>
      </rPr>
      <t>DMS
N-1 Local Stock / N Sales Plan(Result)</t>
    </r>
  </si>
  <si>
    <r>
      <t xml:space="preserve">N-1 Local Stock: DMS &gt; [Intro_Sales_Service] </t>
    </r>
    <r>
      <rPr>
        <sz val="11"/>
        <color theme="1"/>
        <rFont val="맑은 고딕"/>
        <family val="2"/>
        <charset val="129"/>
      </rPr>
      <t>화면 PROGRESS STATUS SUMMARY</t>
    </r>
    <r>
      <rPr>
        <sz val="11"/>
        <color theme="1"/>
        <rFont val="Arial"/>
        <family val="2"/>
      </rPr>
      <t xml:space="preserve"> &gt; Local Stock(</t>
    </r>
    <r>
      <rPr>
        <sz val="11"/>
        <color theme="1"/>
        <rFont val="Arial Unicode MS"/>
        <family val="2"/>
        <charset val="129"/>
      </rPr>
      <t>전월기준</t>
    </r>
    <r>
      <rPr>
        <sz val="11"/>
        <color theme="1"/>
        <rFont val="Arial"/>
        <family val="2"/>
      </rPr>
      <t xml:space="preserve">)
N Sales Plan: [Daily Target Reg(TMKR)]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type CO </t>
    </r>
    <r>
      <rPr>
        <sz val="11"/>
        <color theme="1"/>
        <rFont val="Arial Unicode MS"/>
        <family val="2"/>
        <charset val="129"/>
      </rPr>
      <t xml:space="preserve">선택 </t>
    </r>
    <r>
      <rPr>
        <sz val="11"/>
        <color theme="1"/>
        <rFont val="Arial"/>
        <family val="2"/>
      </rPr>
      <t>&gt; Sum</t>
    </r>
    <r>
      <rPr>
        <sz val="11"/>
        <color theme="1"/>
        <rFont val="Arial Unicode MS"/>
        <family val="2"/>
        <charset val="129"/>
      </rPr>
      <t>(</t>
    </r>
    <r>
      <rPr>
        <sz val="11"/>
        <color theme="1"/>
        <rFont val="Arial"/>
        <family val="2"/>
      </rPr>
      <t xml:space="preserve">Daily Target) </t>
    </r>
  </si>
  <si>
    <t>DMS N-1 Local Stock
68</t>
    <phoneticPr fontId="1" type="noConversion"/>
  </si>
  <si>
    <t>DMS N Sales Plan
264</t>
    <phoneticPr fontId="1" type="noConversion"/>
  </si>
  <si>
    <t>RDS N-1 Local Stock
68</t>
  </si>
  <si>
    <t>RDS N Sales Plan
264</t>
  </si>
  <si>
    <t>[#_Stock Month]
O</t>
  </si>
  <si>
    <t>BOC Month</t>
  </si>
  <si>
    <t>Lexus BOC</t>
  </si>
  <si>
    <r>
      <rPr>
        <sz val="11"/>
        <color theme="1"/>
        <rFont val="Arial Unicode MS"/>
        <family val="2"/>
        <charset val="129"/>
      </rPr>
      <t xml:space="preserve">렉서스 </t>
    </r>
    <r>
      <rPr>
        <sz val="11"/>
        <color theme="1"/>
        <rFont val="Arial"/>
        <family val="2"/>
      </rPr>
      <t>DMS
N-1 BOC / N Sales Plan(Result)</t>
    </r>
    <phoneticPr fontId="1" type="noConversion"/>
  </si>
  <si>
    <r>
      <t xml:space="preserve">N-1 BOC: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PROGRESS STATUS SUMMARY &gt; BOC(</t>
    </r>
    <r>
      <rPr>
        <sz val="11"/>
        <color theme="1"/>
        <rFont val="Arial Unicode MS"/>
        <family val="2"/>
        <charset val="129"/>
      </rPr>
      <t>전월기준</t>
    </r>
    <r>
      <rPr>
        <sz val="11"/>
        <color theme="1"/>
        <rFont val="Arial"/>
        <family val="2"/>
      </rPr>
      <t xml:space="preserve">)
N Sales Plan: [Daily Target Reg(TMKR)]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type CO </t>
    </r>
    <r>
      <rPr>
        <sz val="11"/>
        <color theme="1"/>
        <rFont val="Arial Unicode MS"/>
        <family val="2"/>
        <charset val="129"/>
      </rPr>
      <t>선택</t>
    </r>
    <r>
      <rPr>
        <sz val="11"/>
        <color theme="1"/>
        <rFont val="Arial"/>
        <family val="2"/>
      </rPr>
      <t xml:space="preserve"> &gt; Sum(Daily Target) </t>
    </r>
  </si>
  <si>
    <t>DMS N-1 BOC
1617</t>
    <phoneticPr fontId="1" type="noConversion"/>
  </si>
  <si>
    <t>RDS N-1 BOC
1618</t>
  </si>
  <si>
    <t>[#_BOC Month] 
O</t>
  </si>
  <si>
    <t>Sales Availability</t>
  </si>
  <si>
    <t>Lexus Availability</t>
  </si>
  <si>
    <r>
      <rPr>
        <sz val="11"/>
        <color theme="1"/>
        <rFont val="Arial Unicode MS"/>
        <family val="2"/>
        <charset val="129"/>
      </rPr>
      <t xml:space="preserve">렉서스 </t>
    </r>
    <r>
      <rPr>
        <sz val="11"/>
        <color theme="1"/>
        <rFont val="Arial"/>
        <family val="2"/>
      </rPr>
      <t>DMS
(N-1 Local Stock + N Arrival) / N Sales Plan</t>
    </r>
  </si>
  <si>
    <r>
      <t xml:space="preserve">N-1 Local Stock: DMS &gt; [Intro_Sales_Service]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Arial"/>
        <family val="2"/>
      </rPr>
      <t xml:space="preserve"> PROGRESS STATUS SUMMARY &gt; Local Stock(</t>
    </r>
    <r>
      <rPr>
        <sz val="11"/>
        <color theme="1"/>
        <rFont val="돋움"/>
        <family val="3"/>
        <charset val="129"/>
      </rPr>
      <t>전월기준</t>
    </r>
    <r>
      <rPr>
        <sz val="11"/>
        <color theme="1"/>
        <rFont val="Arial"/>
        <family val="2"/>
      </rPr>
      <t xml:space="preserve">)
N Arrival: [Progress Summary for DLR]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&gt; </t>
    </r>
    <r>
      <rPr>
        <sz val="11"/>
        <color theme="1"/>
        <rFont val="Arial Unicode MS"/>
        <family val="2"/>
        <charset val="129"/>
      </rPr>
      <t xml:space="preserve">딜러도착 </t>
    </r>
    <r>
      <rPr>
        <sz val="11"/>
        <color theme="1"/>
        <rFont val="Arial"/>
        <family val="2"/>
      </rPr>
      <t xml:space="preserve">&gt; </t>
    </r>
    <r>
      <rPr>
        <sz val="11"/>
        <color theme="1"/>
        <rFont val="Arial Unicode MS"/>
        <family val="2"/>
        <charset val="129"/>
      </rPr>
      <t xml:space="preserve">해당 딜러 </t>
    </r>
    <r>
      <rPr>
        <sz val="11"/>
        <color theme="1"/>
        <rFont val="Arial"/>
        <family val="2"/>
      </rPr>
      <t xml:space="preserve">&gt; </t>
    </r>
    <r>
      <rPr>
        <sz val="11"/>
        <color theme="1"/>
        <rFont val="Arial Unicode MS"/>
        <family val="2"/>
        <charset val="129"/>
      </rPr>
      <t xml:space="preserve">소계
</t>
    </r>
    <r>
      <rPr>
        <sz val="11"/>
        <color theme="1"/>
        <rFont val="Arial"/>
        <family val="2"/>
      </rPr>
      <t xml:space="preserve">N Sales Plan: [Daily Target Reg(TMKR)]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 Unicode MS"/>
        <family val="2"/>
      </rPr>
      <t xml:space="preserve"> type CO </t>
    </r>
    <r>
      <rPr>
        <sz val="11"/>
        <color theme="1"/>
        <rFont val="Arial Unicode MS"/>
        <family val="2"/>
        <charset val="129"/>
      </rPr>
      <t xml:space="preserve">선택 &gt; Sum(Daily Target) </t>
    </r>
  </si>
  <si>
    <t>DMS N-1 Local Stock　＋
DMS N Arrival
68 + 260</t>
    <phoneticPr fontId="1" type="noConversion"/>
  </si>
  <si>
    <t>RDS N-1 Local Stock　＋
RDS N Arrival
68 + 262</t>
    <phoneticPr fontId="1" type="noConversion"/>
  </si>
  <si>
    <t>RDS N Sales Plan
264</t>
    <phoneticPr fontId="1" type="noConversion"/>
  </si>
  <si>
    <t>[#_Local Stock(N-1)_Arrival(N)_Ratio(Plan)] 
O</t>
  </si>
  <si>
    <t>Contract Turnover Ratio</t>
  </si>
  <si>
    <t>Lexus Ratio</t>
  </si>
  <si>
    <r>
      <rPr>
        <sz val="11"/>
        <color theme="1"/>
        <rFont val="Arial Unicode MS"/>
        <family val="2"/>
        <charset val="129"/>
      </rPr>
      <t xml:space="preserve">렉서스 </t>
    </r>
    <r>
      <rPr>
        <sz val="11"/>
        <color theme="1"/>
        <rFont val="Arial"/>
        <family val="2"/>
      </rPr>
      <t>DMS
(N-1 BOC + N Net Contract) / N Sales Plan</t>
    </r>
  </si>
  <si>
    <r>
      <t xml:space="preserve">N-1 BOC: DMS &gt; [Intro_Sales_Service]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PROGRESS STATUS SUMMARY &gt; BOC(</t>
    </r>
    <r>
      <rPr>
        <sz val="11"/>
        <color theme="1"/>
        <rFont val="Arial Unicode MS"/>
        <family val="2"/>
        <charset val="129"/>
      </rPr>
      <t>전월기준</t>
    </r>
    <r>
      <rPr>
        <sz val="11"/>
        <color theme="1"/>
        <rFont val="Arial"/>
        <family val="2"/>
      </rPr>
      <t xml:space="preserve">)
N Net Contract: DMS &gt; [Intro_Sales_Service]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PROGRESS STATUS SUMMARY &gt; Contract
N Sales Plan: [Daily Target Reg(TMKR)] </t>
    </r>
    <r>
      <rPr>
        <sz val="11"/>
        <color theme="1"/>
        <rFont val="Arial Unicode MS"/>
        <family val="2"/>
        <charset val="129"/>
      </rPr>
      <t>화면</t>
    </r>
    <r>
      <rPr>
        <sz val="11"/>
        <color theme="1"/>
        <rFont val="Arial"/>
        <family val="2"/>
      </rPr>
      <t xml:space="preserve"> type CO </t>
    </r>
    <r>
      <rPr>
        <sz val="11"/>
        <color theme="1"/>
        <rFont val="Arial Unicode MS"/>
        <family val="2"/>
        <charset val="129"/>
      </rPr>
      <t>선택</t>
    </r>
    <r>
      <rPr>
        <sz val="11"/>
        <color theme="1"/>
        <rFont val="Arial"/>
        <family val="2"/>
      </rPr>
      <t xml:space="preserve"> &gt; Sum(Daily Target) </t>
    </r>
  </si>
  <si>
    <t>DMS N-1 BOC +
DMS N Net Contract
1617 + 258</t>
    <phoneticPr fontId="1" type="noConversion"/>
  </si>
  <si>
    <t>RDS N-1 BOC +
RDS N Net Contract
1618 + 258</t>
    <phoneticPr fontId="1" type="noConversion"/>
  </si>
  <si>
    <t>[#_BOC(N-1)_Net Contract(N)_Ratio(Plan)]
O</t>
  </si>
  <si>
    <t>BOC Cancellation</t>
  </si>
  <si>
    <t>Lexus BOC Cancellation</t>
  </si>
  <si>
    <r>
      <rPr>
        <sz val="11"/>
        <color theme="1"/>
        <rFont val="Arial Unicode MS"/>
        <family val="2"/>
        <charset val="129"/>
      </rPr>
      <t xml:space="preserve">렉서스 </t>
    </r>
    <r>
      <rPr>
        <sz val="11"/>
        <color theme="1"/>
        <rFont val="Arial"/>
        <family val="2"/>
      </rPr>
      <t>DMS
N-1 BOC / N Cancellation</t>
    </r>
  </si>
  <si>
    <r>
      <t xml:space="preserve">N-1 BOC: DMS &gt; [Intro_Sales_Service] </t>
    </r>
    <r>
      <rPr>
        <sz val="11"/>
        <color theme="1"/>
        <rFont val="굴림"/>
        <family val="2"/>
        <charset val="129"/>
      </rPr>
      <t>화면</t>
    </r>
    <r>
      <rPr>
        <sz val="11"/>
        <color theme="1"/>
        <rFont val="Arial"/>
        <family val="2"/>
      </rPr>
      <t xml:space="preserve"> PROGRESS STATUS SUMMARY &gt; BOC(</t>
    </r>
    <r>
      <rPr>
        <sz val="11"/>
        <color theme="1"/>
        <rFont val="굴림"/>
        <family val="2"/>
        <charset val="129"/>
      </rPr>
      <t>전월기준</t>
    </r>
    <r>
      <rPr>
        <sz val="11"/>
        <color theme="1"/>
        <rFont val="Arial"/>
        <family val="2"/>
      </rPr>
      <t xml:space="preserve">)
N Cancellation: DMS &gt; [Intro_Sales_Service] </t>
    </r>
    <r>
      <rPr>
        <sz val="11"/>
        <color theme="1"/>
        <rFont val="Arial Unicode MS"/>
        <family val="2"/>
        <charset val="129"/>
      </rPr>
      <t>화면 PROGRESS STATUS SUMMARY  &gt;</t>
    </r>
    <r>
      <rPr>
        <sz val="11"/>
        <color theme="1"/>
        <rFont val="Arial"/>
        <family val="2"/>
      </rPr>
      <t xml:space="preserve">  Cancel</t>
    </r>
  </si>
  <si>
    <t>DMS N Cancellation
157</t>
  </si>
  <si>
    <t>RDS N-1 BOC
1618</t>
    <phoneticPr fontId="1" type="noConversion"/>
  </si>
  <si>
    <t>RDS N Cancellation
157</t>
    <phoneticPr fontId="1" type="noConversion"/>
  </si>
  <si>
    <t>[#_BOC(N-1)_Ratio(Cancel)]
O</t>
  </si>
  <si>
    <t>Stock Information</t>
  </si>
  <si>
    <t>Stock Information by Type</t>
  </si>
  <si>
    <t>Under 1M</t>
  </si>
  <si>
    <r>
      <t>1</t>
    </r>
    <r>
      <rPr>
        <sz val="11"/>
        <color theme="1"/>
        <rFont val="Arial Unicode MS"/>
        <family val="2"/>
        <charset val="129"/>
      </rPr>
      <t xml:space="preserve">개월 이내 Available </t>
    </r>
    <r>
      <rPr>
        <sz val="11"/>
        <color theme="1"/>
        <rFont val="Arial"/>
        <family val="2"/>
      </rPr>
      <t>Stock</t>
    </r>
  </si>
  <si>
    <r>
      <t xml:space="preserve">1Month Available Stock: TG-Vision &gt; [Stock &amp; Delivery Status by Model]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&gt; Available Stock &amp; BOC Status by Model &gt; Sum(Within 1Week + Over 7days) </t>
    </r>
  </si>
  <si>
    <t>DMS 1M Available Stock
152</t>
    <phoneticPr fontId="1" type="noConversion"/>
  </si>
  <si>
    <t>RDS 1M Available Stock
152</t>
  </si>
  <si>
    <t>[#_1M Available_Stock]
O</t>
  </si>
  <si>
    <t>1~3M</t>
  </si>
  <si>
    <t>1 ~ 3M Available Stock</t>
  </si>
  <si>
    <r>
      <t xml:space="preserve">1 ~ 3M Available Stock: TG-Vision &gt; [Stock &amp; Delivery Status by Model] </t>
    </r>
    <r>
      <rPr>
        <sz val="11"/>
        <color theme="1"/>
        <rFont val="돋움"/>
        <family val="2"/>
        <charset val="129"/>
      </rPr>
      <t>화면</t>
    </r>
    <r>
      <rPr>
        <sz val="11"/>
        <color theme="1"/>
        <rFont val="Arial"/>
        <family val="2"/>
      </rPr>
      <t xml:space="preserve"> &gt; Available Stock &amp; BOC Status by Model &gt; Sum(Over 30days + Over 60days)</t>
    </r>
  </si>
  <si>
    <t>DMS 1~3M Available Stock
31</t>
    <phoneticPr fontId="1" type="noConversion"/>
  </si>
  <si>
    <t>RDS 1~3M Available Stock
31</t>
    <phoneticPr fontId="1" type="noConversion"/>
  </si>
  <si>
    <t>[#_1~3M Available_Stock]
O</t>
  </si>
  <si>
    <t>4~6M</t>
  </si>
  <si>
    <t>4 ~ 6M Available Stock</t>
  </si>
  <si>
    <r>
      <t xml:space="preserve">1 ~ 3M Available Stock: TG-Vision &gt; [Stock &amp; Delivery Status by Model] </t>
    </r>
    <r>
      <rPr>
        <sz val="11"/>
        <color theme="1"/>
        <rFont val="돋움"/>
        <family val="2"/>
        <charset val="129"/>
      </rPr>
      <t>화면</t>
    </r>
    <r>
      <rPr>
        <sz val="11"/>
        <color theme="1"/>
        <rFont val="Arial"/>
        <family val="2"/>
      </rPr>
      <t xml:space="preserve"> &gt; Available Stock &amp; BOC Status by Model &gt; Sum(4~6</t>
    </r>
    <r>
      <rPr>
        <sz val="11"/>
        <color theme="1"/>
        <rFont val="Arial Unicode MS"/>
        <family val="2"/>
        <charset val="129"/>
      </rPr>
      <t>개월로 조건 변경)</t>
    </r>
  </si>
  <si>
    <t>DMS 4~6M Available Stock
2</t>
    <phoneticPr fontId="1" type="noConversion"/>
  </si>
  <si>
    <t>RDS 4~6M Available Stock
2</t>
    <phoneticPr fontId="1" type="noConversion"/>
  </si>
  <si>
    <t>[#_4~6M Available_Stock]
O</t>
  </si>
  <si>
    <t>Over 6M</t>
  </si>
  <si>
    <t>Over 6M Available Stock</t>
  </si>
  <si>
    <r>
      <t xml:space="preserve">1 ~ 3M Available Stock: TG-Vision &gt; [Stock &amp; Delivery Status by Model] </t>
    </r>
    <r>
      <rPr>
        <sz val="11"/>
        <color theme="1"/>
        <rFont val="돋움"/>
        <family val="2"/>
        <charset val="129"/>
      </rPr>
      <t>화면</t>
    </r>
    <r>
      <rPr>
        <sz val="11"/>
        <color theme="1"/>
        <rFont val="Arial"/>
        <family val="2"/>
      </rPr>
      <t xml:space="preserve"> &gt; Available Stock &amp; BOC Status by Model &gt; Sum(6</t>
    </r>
    <r>
      <rPr>
        <sz val="11"/>
        <color theme="1"/>
        <rFont val="Arial Unicode MS"/>
        <family val="2"/>
        <charset val="129"/>
      </rPr>
      <t>개월 이상으로 조건 변경)</t>
    </r>
    <phoneticPr fontId="1" type="noConversion"/>
  </si>
  <si>
    <t>DMS Over 6M 
Available Stock
1</t>
    <phoneticPr fontId="1" type="noConversion"/>
  </si>
  <si>
    <t>RDS Over 6M 
Available Stock
1</t>
    <phoneticPr fontId="1" type="noConversion"/>
  </si>
  <si>
    <t>[#_Over 6M Available_Stock]
O</t>
  </si>
  <si>
    <t>BOC Information</t>
  </si>
  <si>
    <t>Delivery</t>
  </si>
  <si>
    <r>
      <t>1</t>
    </r>
    <r>
      <rPr>
        <sz val="11"/>
        <color theme="1"/>
        <rFont val="Arial Unicode MS"/>
        <family val="2"/>
        <charset val="129"/>
      </rPr>
      <t>개월 이내 BOC 중 출고된 건</t>
    </r>
  </si>
  <si>
    <r>
      <t xml:space="preserve">1Month Delivery: DMS &gt; [Intro_Sales_Service] </t>
    </r>
    <r>
      <rPr>
        <sz val="11"/>
        <color theme="1"/>
        <rFont val="Arial Unicode MS"/>
        <family val="2"/>
        <charset val="129"/>
      </rPr>
      <t xml:space="preserve">화면 PROGRESS STATUS SUMMARY </t>
    </r>
    <r>
      <rPr>
        <sz val="11"/>
        <color theme="1"/>
        <rFont val="Arial"/>
        <family val="2"/>
      </rPr>
      <t xml:space="preserve">&gt; Sales &gt; Delivery &gt; </t>
    </r>
    <r>
      <rPr>
        <sz val="11"/>
        <color theme="1"/>
        <rFont val="Arial Unicode MS"/>
        <family val="2"/>
        <charset val="129"/>
      </rPr>
      <t>계약일 1개월 이내 조건 추가</t>
    </r>
    <r>
      <rPr>
        <sz val="11"/>
        <color theme="1"/>
        <rFont val="Arial"/>
        <family val="2"/>
      </rPr>
      <t xml:space="preserve"> </t>
    </r>
  </si>
  <si>
    <t>DMS 1M Delivery
48</t>
    <phoneticPr fontId="1" type="noConversion"/>
  </si>
  <si>
    <t>RDS 1M Delivery
48</t>
    <phoneticPr fontId="1" type="noConversion"/>
  </si>
  <si>
    <t>[#_1M Delivery]
O</t>
  </si>
  <si>
    <r>
      <t xml:space="preserve">1 ~ 3M BOC </t>
    </r>
    <r>
      <rPr>
        <sz val="11"/>
        <color theme="1"/>
        <rFont val="Arial Unicode MS"/>
        <family val="2"/>
        <charset val="129"/>
      </rPr>
      <t>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출고된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건</t>
    </r>
  </si>
  <si>
    <r>
      <t xml:space="preserve">1 ~ 3M Delivery: DMS &gt; [Intro_Sales_Service] </t>
    </r>
    <r>
      <rPr>
        <sz val="11"/>
        <color theme="1"/>
        <rFont val="Arial Unicode MS"/>
        <family val="2"/>
        <charset val="129"/>
      </rPr>
      <t xml:space="preserve">화면 PROGRESS STATUS SUMMARY </t>
    </r>
    <r>
      <rPr>
        <sz val="11"/>
        <color theme="1"/>
        <rFont val="Arial"/>
        <family val="2"/>
      </rPr>
      <t xml:space="preserve">&gt; Sales &gt; Delivery &gt; </t>
    </r>
    <r>
      <rPr>
        <sz val="11"/>
        <color theme="1"/>
        <rFont val="Arial Unicode MS"/>
        <family val="2"/>
        <charset val="129"/>
      </rPr>
      <t>계약일 1 ~ 3M 조건 추가</t>
    </r>
    <r>
      <rPr>
        <sz val="11"/>
        <color theme="1"/>
        <rFont val="Arial"/>
        <family val="2"/>
      </rPr>
      <t xml:space="preserve"> </t>
    </r>
  </si>
  <si>
    <t>DMS 1~3M Delivery
33</t>
    <phoneticPr fontId="1" type="noConversion"/>
  </si>
  <si>
    <t>RDS 1~3M Delivery
33</t>
    <phoneticPr fontId="1" type="noConversion"/>
  </si>
  <si>
    <t>[#_1~3M Delivery]
O</t>
  </si>
  <si>
    <r>
      <t xml:space="preserve">4 ~ 6M BOC </t>
    </r>
    <r>
      <rPr>
        <sz val="11"/>
        <color theme="1"/>
        <rFont val="Arial Unicode MS"/>
        <family val="2"/>
        <charset val="129"/>
      </rPr>
      <t>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출고된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건</t>
    </r>
  </si>
  <si>
    <r>
      <t xml:space="preserve">4 ~ 6M Delivery: DMS &gt; [Intro_Sales_Service] </t>
    </r>
    <r>
      <rPr>
        <sz val="11"/>
        <color theme="1"/>
        <rFont val="Arial Unicode MS"/>
        <family val="2"/>
        <charset val="129"/>
      </rPr>
      <t xml:space="preserve">화면 PROGRESS STATUS SUMMARY </t>
    </r>
    <r>
      <rPr>
        <sz val="11"/>
        <color theme="1"/>
        <rFont val="Arial"/>
        <family val="2"/>
      </rPr>
      <t xml:space="preserve">&gt; Sales &gt; Delivery &gt; </t>
    </r>
    <r>
      <rPr>
        <sz val="11"/>
        <color theme="1"/>
        <rFont val="Arial Unicode MS"/>
        <family val="2"/>
        <charset val="129"/>
      </rPr>
      <t>계약일 4 ~ 6M 조건 추가</t>
    </r>
    <r>
      <rPr>
        <sz val="11"/>
        <color theme="1"/>
        <rFont val="Arial"/>
        <family val="2"/>
      </rPr>
      <t xml:space="preserve"> </t>
    </r>
  </si>
  <si>
    <t>DMS 4~6M Delivery
27</t>
    <phoneticPr fontId="1" type="noConversion"/>
  </si>
  <si>
    <t>RDS 4~6M Delivery
27</t>
    <phoneticPr fontId="1" type="noConversion"/>
  </si>
  <si>
    <t>[#_4~6M Delivery]
O</t>
  </si>
  <si>
    <r>
      <t xml:space="preserve">Over 6M BOC </t>
    </r>
    <r>
      <rPr>
        <sz val="11"/>
        <color theme="1"/>
        <rFont val="Arial Unicode MS"/>
        <family val="2"/>
        <charset val="129"/>
      </rPr>
      <t>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출고된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건</t>
    </r>
  </si>
  <si>
    <r>
      <t xml:space="preserve">Over 6M Delivery: DMS &gt; [Intro_Sales_Service] </t>
    </r>
    <r>
      <rPr>
        <sz val="11"/>
        <color theme="1"/>
        <rFont val="Arial Unicode MS"/>
        <family val="2"/>
        <charset val="129"/>
      </rPr>
      <t xml:space="preserve">화면 PROGRESS STATUS SUMMARY </t>
    </r>
    <r>
      <rPr>
        <sz val="11"/>
        <color theme="1"/>
        <rFont val="Arial"/>
        <family val="2"/>
      </rPr>
      <t xml:space="preserve">&gt; Sales &gt; Delivery &gt; </t>
    </r>
    <r>
      <rPr>
        <sz val="11"/>
        <color theme="1"/>
        <rFont val="Arial Unicode MS"/>
        <family val="2"/>
        <charset val="129"/>
      </rPr>
      <t>계약일 6개월 초과 조건 추가</t>
    </r>
    <r>
      <rPr>
        <sz val="11"/>
        <color theme="1"/>
        <rFont val="Arial"/>
        <family val="2"/>
      </rPr>
      <t xml:space="preserve"> </t>
    </r>
  </si>
  <si>
    <t>DMS Over 6M Delivery
37</t>
    <phoneticPr fontId="1" type="noConversion"/>
  </si>
  <si>
    <t>RDS Over 6M Delivery
37</t>
    <phoneticPr fontId="1" type="noConversion"/>
  </si>
  <si>
    <t>[#_~6M Delivery]
O</t>
  </si>
  <si>
    <t>BOC</t>
  </si>
  <si>
    <r>
      <t>1</t>
    </r>
    <r>
      <rPr>
        <sz val="11"/>
        <color theme="1"/>
        <rFont val="Arial Unicode MS"/>
        <family val="2"/>
        <charset val="129"/>
      </rPr>
      <t>개월 이내 BOC</t>
    </r>
  </si>
  <si>
    <r>
      <t xml:space="preserve">1Month BOC: TG-Vision &gt; [Stock &amp; Delivery Status by Model]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&gt; Available Stock &amp; BOC Status by Model &gt; BOC &gt; 1M </t>
    </r>
    <r>
      <rPr>
        <sz val="11"/>
        <color theme="1"/>
        <rFont val="Arial Unicode MS"/>
        <family val="2"/>
        <charset val="129"/>
      </rPr>
      <t>기간 조건 추가</t>
    </r>
  </si>
  <si>
    <t>DMS 1M BOC
200</t>
    <phoneticPr fontId="1" type="noConversion"/>
  </si>
  <si>
    <t>RDS 1M BOC
200</t>
    <phoneticPr fontId="1" type="noConversion"/>
  </si>
  <si>
    <t>[#_1M BOC]
O</t>
  </si>
  <si>
    <t>1 ~ 3M BOC</t>
  </si>
  <si>
    <r>
      <t xml:space="preserve">1 ~ 3M BOC: TG-Vision &gt; [Stock &amp; Delivery Status by Model]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&gt; Available Stock &amp; BOC Status by Model &gt; BOC &gt; 1M ~ 3M </t>
    </r>
    <r>
      <rPr>
        <sz val="11"/>
        <color theme="1"/>
        <rFont val="Arial Unicode MS"/>
        <family val="2"/>
        <charset val="129"/>
      </rPr>
      <t>기간 조건 추가</t>
    </r>
  </si>
  <si>
    <t>DMS 1~3M BOC
302</t>
    <phoneticPr fontId="1" type="noConversion"/>
  </si>
  <si>
    <t>RDS 1~3M BOC
302</t>
    <phoneticPr fontId="1" type="noConversion"/>
  </si>
  <si>
    <t>[#_1~3M BOC]
O</t>
  </si>
  <si>
    <t>4 ~ 6M BOC</t>
  </si>
  <si>
    <r>
      <t xml:space="preserve">4 ~ 6M BOC: TG-Vision &gt; [Stock &amp; Delivery Status by Model]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&gt; Available Stock &amp; BOC Status by Model &gt; BOC &gt; 4M ~ 6M </t>
    </r>
    <r>
      <rPr>
        <sz val="11"/>
        <color theme="1"/>
        <rFont val="Arial Unicode MS"/>
        <family val="2"/>
        <charset val="129"/>
      </rPr>
      <t>기간 조건 추가</t>
    </r>
  </si>
  <si>
    <t>DMS 4~6M BOC
479</t>
    <phoneticPr fontId="1" type="noConversion"/>
  </si>
  <si>
    <t>RDS 4~6M BOC
479</t>
    <phoneticPr fontId="1" type="noConversion"/>
  </si>
  <si>
    <t>[#_4~6M BOC]
O</t>
  </si>
  <si>
    <t>Over 6M BOC</t>
  </si>
  <si>
    <r>
      <t xml:space="preserve">Over 6M BOC: TG-Vision &gt; [Stock &amp; Delivery Status by Model] </t>
    </r>
    <r>
      <rPr>
        <sz val="11"/>
        <color theme="1"/>
        <rFont val="Arial Unicode MS"/>
        <family val="2"/>
        <charset val="129"/>
      </rPr>
      <t xml:space="preserve">화면 </t>
    </r>
    <r>
      <rPr>
        <sz val="11"/>
        <color theme="1"/>
        <rFont val="Arial"/>
        <family val="2"/>
      </rPr>
      <t xml:space="preserve">&gt; Available Stock &amp; BOC Status by Model &gt; BOC &gt; 6M </t>
    </r>
    <r>
      <rPr>
        <sz val="11"/>
        <color theme="1"/>
        <rFont val="Arial Unicode MS"/>
        <family val="2"/>
        <charset val="129"/>
      </rPr>
      <t>초과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 Unicode MS"/>
        <family val="2"/>
        <charset val="129"/>
      </rPr>
      <t>기간 조건 추가</t>
    </r>
  </si>
  <si>
    <t>DMS Over 6M BOC
593</t>
    <phoneticPr fontId="1" type="noConversion"/>
  </si>
  <si>
    <t>RDS Over 6M BOC
593</t>
    <phoneticPr fontId="1" type="noConversion"/>
  </si>
  <si>
    <t>[#_~6M BOC]
O</t>
  </si>
  <si>
    <t>공통</t>
    <phoneticPr fontId="1" type="noConversion"/>
  </si>
  <si>
    <t>-</t>
    <phoneticPr fontId="1" type="noConversion"/>
  </si>
  <si>
    <t>휴일관리</t>
    <phoneticPr fontId="1" type="noConversion"/>
  </si>
  <si>
    <t>Y : 휴일
N : 평일</t>
    <phoneticPr fontId="1" type="noConversion"/>
  </si>
  <si>
    <t>Y</t>
    <phoneticPr fontId="1" type="noConversion"/>
  </si>
  <si>
    <t>DMS Holiday Y/N
Y</t>
    <phoneticPr fontId="1" type="noConversion"/>
  </si>
  <si>
    <t>RDS Holiday Y/N
Y</t>
    <phoneticPr fontId="1" type="noConversion"/>
  </si>
  <si>
    <t>-</t>
  </si>
  <si>
    <t>월 계약목표비율</t>
    <phoneticPr fontId="1" type="noConversion"/>
  </si>
  <si>
    <t>DMS Contract Ratio
2.3</t>
    <phoneticPr fontId="1" type="noConversion"/>
  </si>
  <si>
    <t>RDS Contract Ratio
2.3</t>
    <phoneticPr fontId="1" type="noConversion"/>
  </si>
  <si>
    <t>월 출고목표비율</t>
    <phoneticPr fontId="1" type="noConversion"/>
  </si>
  <si>
    <t>DMS Sales Ratio
0</t>
    <phoneticPr fontId="1" type="noConversion"/>
  </si>
  <si>
    <t>RDS Sales Ratio
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</si>
</sst>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3"/>
      <charset val="129"/>
    </font>
    <font>
      <sz val="6"/>
      <name val="맑은 고딕"/>
      <family val="2"/>
      <charset val="12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9C5700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name val="맑은 고딕"/>
      <family val="2"/>
      <charset val="129"/>
      <scheme val="minor"/>
    </font>
    <font>
      <sz val="11"/>
      <color theme="1"/>
      <name val="Arial"/>
      <family val="2"/>
      <charset val="129"/>
    </font>
    <font>
      <sz val="11"/>
      <color theme="1"/>
      <name val="돋움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굴림"/>
      <family val="2"/>
      <charset val="129"/>
    </font>
    <font>
      <sz val="11"/>
      <color theme="1"/>
      <name val="Arial Unicode MS"/>
      <family val="2"/>
    </font>
    <font>
      <sz val="11"/>
      <color rgb="FFFF0000"/>
      <name val="Arial Unicode MS"/>
      <family val="3"/>
      <charset val="129"/>
    </font>
    <font>
      <b/>
      <sz val="9"/>
      <color indexed="81"/>
      <name val="맑은 고딕"/>
      <family val="2"/>
      <charset val="129"/>
    </font>
    <font>
      <sz val="11"/>
      <color theme="1"/>
      <name val="Arial"/>
      <family val="3"/>
    </font>
    <font>
      <b/>
      <sz val="9"/>
      <color indexed="8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scheme val="major"/>
    </font>
    <font>
      <sz val="11"/>
      <color rgb="FF000000"/>
      <name val="Arial"/>
      <family val="2"/>
    </font>
    <font>
      <sz val="11"/>
      <color rgb="FF000000"/>
      <name val="Arial Unicode MS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Arial Unicode MS"/>
      <family val="2"/>
      <charset val="129"/>
    </font>
    <font>
      <sz val="11"/>
      <color theme="1"/>
      <name val="맑은 고딕"/>
      <family val="3"/>
    </font>
    <font>
      <sz val="11"/>
      <color rgb="FF000000"/>
      <name val="맑은 고딕"/>
      <family val="2"/>
      <scheme val="major"/>
    </font>
    <font>
      <sz val="11"/>
      <color theme="1"/>
      <name val="Arial Unicode MS"/>
      <family val="3"/>
      <charset val="129"/>
    </font>
    <font>
      <sz val="11"/>
      <name val="맑은 고딕"/>
      <family val="3"/>
      <scheme val="major"/>
    </font>
    <font>
      <b/>
      <sz val="11"/>
      <color rgb="FFFF0000"/>
      <name val="맑은 고딕"/>
      <family val="3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1"/>
      <name val="굴림"/>
      <family val="3"/>
      <charset val="129"/>
    </font>
    <font>
      <sz val="11"/>
      <color rgb="FF70AD47"/>
      <name val="맑은 고딕"/>
      <family val="2"/>
      <scheme val="major"/>
    </font>
    <font>
      <sz val="11"/>
      <color theme="1"/>
      <name val="Calibri Light"/>
      <family val="2"/>
    </font>
    <font>
      <sz val="11"/>
      <color rgb="FF000000"/>
      <name val="굴림"/>
      <family val="3"/>
      <charset val="129"/>
    </font>
    <font>
      <sz val="11"/>
      <color rgb="FF000000"/>
      <name val="Calibri Light"/>
      <family val="2"/>
    </font>
    <font>
      <sz val="11"/>
      <color theme="1"/>
      <name val="맑은 고딕"/>
      <family val="2"/>
      <scheme val="major"/>
    </font>
    <font>
      <b/>
      <sz val="11"/>
      <color rgb="FFFF0000"/>
      <name val="맑은 고딕"/>
      <family val="2"/>
      <scheme val="major"/>
    </font>
    <font>
      <b/>
      <sz val="11"/>
      <color rgb="FFFF0000"/>
      <name val="Calibri Light"/>
      <family val="2"/>
    </font>
    <font>
      <sz val="11"/>
      <color rgb="FF70AD47"/>
      <name val="Calibri Light"/>
      <family val="2"/>
    </font>
    <font>
      <sz val="11"/>
      <color rgb="FF000000"/>
      <name val="Calibri Light"/>
      <scheme val="major"/>
    </font>
    <font>
      <sz val="11"/>
      <color rgb="FF70AD47"/>
      <name val="Calibri Light"/>
      <scheme val="major"/>
    </font>
    <font>
      <sz val="11"/>
      <color theme="1"/>
      <name val="Calibri Light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/>
      <top/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1"/>
      </right>
      <top/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/>
      <top style="hair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hair">
        <color theme="1"/>
      </top>
      <bottom/>
      <diagonal/>
    </border>
    <border>
      <left style="thin">
        <color theme="1"/>
      </left>
      <right style="thin">
        <color theme="1"/>
      </right>
      <top style="hair">
        <color indexed="64"/>
      </top>
      <bottom style="hair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hair">
        <color indexed="64"/>
      </top>
      <bottom/>
      <diagonal/>
    </border>
    <border>
      <left style="thin">
        <color theme="1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hair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hair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theme="1"/>
      </top>
      <bottom/>
      <diagonal/>
    </border>
    <border>
      <left/>
      <right style="thin">
        <color theme="1"/>
      </right>
      <top style="hair">
        <color theme="1"/>
      </top>
      <bottom/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hair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10" fillId="5" borderId="0" applyNumberFormat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3" borderId="5" xfId="1" applyFont="1" applyFill="1" applyBorder="1">
      <alignment vertical="center"/>
    </xf>
    <xf numFmtId="0" fontId="2" fillId="3" borderId="2" xfId="1" applyFont="1" applyFill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0" xfId="1" applyFont="1" applyBorder="1">
      <alignment vertical="center"/>
    </xf>
    <xf numFmtId="0" fontId="2" fillId="0" borderId="12" xfId="1" applyFont="1" applyBorder="1">
      <alignment vertical="center"/>
    </xf>
    <xf numFmtId="0" fontId="2" fillId="0" borderId="15" xfId="1" applyFont="1" applyBorder="1">
      <alignment vertical="center"/>
    </xf>
    <xf numFmtId="0" fontId="2" fillId="0" borderId="16" xfId="1" applyFont="1" applyBorder="1">
      <alignment vertical="center"/>
    </xf>
    <xf numFmtId="0" fontId="2" fillId="4" borderId="1" xfId="1" applyFont="1" applyFill="1" applyBorder="1" applyAlignment="1">
      <alignment horizontal="center" vertical="center"/>
    </xf>
    <xf numFmtId="0" fontId="11" fillId="0" borderId="7" xfId="1" applyFont="1" applyBorder="1">
      <alignment vertical="center"/>
    </xf>
    <xf numFmtId="0" fontId="11" fillId="0" borderId="8" xfId="1" applyFont="1" applyBorder="1">
      <alignment vertical="center"/>
    </xf>
    <xf numFmtId="0" fontId="11" fillId="0" borderId="10" xfId="1" applyFont="1" applyBorder="1">
      <alignment vertical="center"/>
    </xf>
    <xf numFmtId="0" fontId="11" fillId="0" borderId="9" xfId="1" applyFont="1" applyBorder="1">
      <alignment vertical="center"/>
    </xf>
    <xf numFmtId="0" fontId="11" fillId="0" borderId="11" xfId="1" applyFont="1" applyBorder="1">
      <alignment vertical="center"/>
    </xf>
    <xf numFmtId="0" fontId="11" fillId="0" borderId="12" xfId="1" applyFont="1" applyBorder="1">
      <alignment vertical="center"/>
    </xf>
    <xf numFmtId="0" fontId="11" fillId="0" borderId="14" xfId="1" applyFont="1" applyBorder="1">
      <alignment vertical="center"/>
    </xf>
    <xf numFmtId="0" fontId="11" fillId="0" borderId="15" xfId="1" applyFont="1" applyBorder="1">
      <alignment vertical="center"/>
    </xf>
    <xf numFmtId="0" fontId="11" fillId="0" borderId="18" xfId="1" applyFont="1" applyBorder="1">
      <alignment vertical="center"/>
    </xf>
    <xf numFmtId="0" fontId="11" fillId="0" borderId="13" xfId="1" applyFont="1" applyBorder="1">
      <alignment vertical="center"/>
    </xf>
    <xf numFmtId="0" fontId="11" fillId="0" borderId="17" xfId="1" applyFont="1" applyBorder="1">
      <alignment vertical="center"/>
    </xf>
    <xf numFmtId="0" fontId="11" fillId="0" borderId="16" xfId="1" applyFont="1" applyBorder="1">
      <alignment vertical="center"/>
    </xf>
    <xf numFmtId="0" fontId="11" fillId="0" borderId="3" xfId="1" applyFont="1" applyBorder="1" applyAlignment="1">
      <alignment horizontal="center" vertical="center" wrapText="1"/>
    </xf>
    <xf numFmtId="0" fontId="12" fillId="0" borderId="9" xfId="1" applyFont="1" applyBorder="1">
      <alignment vertical="center"/>
    </xf>
    <xf numFmtId="0" fontId="14" fillId="0" borderId="12" xfId="1" applyFont="1" applyBorder="1">
      <alignment vertical="center"/>
    </xf>
    <xf numFmtId="0" fontId="14" fillId="0" borderId="9" xfId="1" applyFont="1" applyBorder="1">
      <alignment vertical="center"/>
    </xf>
    <xf numFmtId="0" fontId="11" fillId="0" borderId="19" xfId="1" applyFont="1" applyBorder="1">
      <alignment vertical="center"/>
    </xf>
    <xf numFmtId="0" fontId="14" fillId="0" borderId="7" xfId="1" applyFont="1" applyBorder="1">
      <alignment vertical="center"/>
    </xf>
    <xf numFmtId="0" fontId="13" fillId="0" borderId="12" xfId="2" applyFont="1" applyFill="1" applyBorder="1" applyAlignment="1">
      <alignment vertical="center" wrapText="1"/>
    </xf>
    <xf numFmtId="0" fontId="11" fillId="0" borderId="12" xfId="1" applyFont="1" applyBorder="1" applyAlignment="1">
      <alignment vertical="center" wrapText="1"/>
    </xf>
    <xf numFmtId="0" fontId="11" fillId="0" borderId="10" xfId="1" applyFont="1" applyBorder="1" applyAlignment="1">
      <alignment vertical="center" wrapText="1"/>
    </xf>
    <xf numFmtId="0" fontId="14" fillId="0" borderId="13" xfId="1" applyFont="1" applyBorder="1">
      <alignment vertical="center"/>
    </xf>
    <xf numFmtId="0" fontId="11" fillId="0" borderId="16" xfId="1" applyFont="1" applyBorder="1" applyAlignment="1">
      <alignment vertical="center" wrapText="1"/>
    </xf>
    <xf numFmtId="0" fontId="11" fillId="0" borderId="22" xfId="1" applyFont="1" applyBorder="1" applyAlignment="1">
      <alignment vertical="center" wrapText="1"/>
    </xf>
    <xf numFmtId="0" fontId="11" fillId="0" borderId="23" xfId="1" applyFont="1" applyBorder="1" applyAlignment="1">
      <alignment vertical="center" wrapText="1"/>
    </xf>
    <xf numFmtId="0" fontId="11" fillId="0" borderId="19" xfId="1" applyFont="1" applyBorder="1" applyAlignment="1">
      <alignment vertical="center" wrapText="1"/>
    </xf>
    <xf numFmtId="0" fontId="14" fillId="0" borderId="23" xfId="1" applyFont="1" applyBorder="1" applyAlignment="1">
      <alignment vertical="center" wrapText="1"/>
    </xf>
    <xf numFmtId="0" fontId="14" fillId="0" borderId="25" xfId="1" applyFont="1" applyBorder="1" applyAlignment="1">
      <alignment vertical="center" wrapText="1"/>
    </xf>
    <xf numFmtId="0" fontId="14" fillId="0" borderId="24" xfId="1" applyFont="1" applyBorder="1" applyAlignment="1">
      <alignment vertical="center" wrapText="1"/>
    </xf>
    <xf numFmtId="0" fontId="11" fillId="0" borderId="21" xfId="1" applyFont="1" applyBorder="1" applyAlignment="1">
      <alignment vertical="center" wrapText="1"/>
    </xf>
    <xf numFmtId="0" fontId="14" fillId="0" borderId="26" xfId="1" applyFont="1" applyBorder="1" applyAlignment="1">
      <alignment vertical="center" wrapText="1"/>
    </xf>
    <xf numFmtId="0" fontId="14" fillId="0" borderId="9" xfId="1" applyFont="1" applyBorder="1" applyAlignment="1">
      <alignment vertical="center" wrapText="1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1" fillId="0" borderId="27" xfId="1" applyFont="1" applyBorder="1" applyAlignment="1">
      <alignment vertical="center" wrapText="1"/>
    </xf>
    <xf numFmtId="0" fontId="11" fillId="0" borderId="7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left" vertical="top" wrapText="1"/>
    </xf>
    <xf numFmtId="0" fontId="11" fillId="0" borderId="28" xfId="1" applyFont="1" applyBorder="1">
      <alignment vertical="center"/>
    </xf>
    <xf numFmtId="0" fontId="11" fillId="0" borderId="29" xfId="1" applyFont="1" applyBorder="1">
      <alignment vertical="center"/>
    </xf>
    <xf numFmtId="0" fontId="11" fillId="0" borderId="30" xfId="1" applyFont="1" applyBorder="1">
      <alignment vertical="center"/>
    </xf>
    <xf numFmtId="0" fontId="11" fillId="0" borderId="31" xfId="1" applyFont="1" applyBorder="1" applyAlignment="1">
      <alignment vertical="center" wrapText="1"/>
    </xf>
    <xf numFmtId="0" fontId="14" fillId="0" borderId="31" xfId="1" applyFont="1" applyBorder="1" applyAlignment="1">
      <alignment vertical="center" wrapText="1"/>
    </xf>
    <xf numFmtId="0" fontId="11" fillId="0" borderId="8" xfId="1" applyFont="1" applyBorder="1" applyAlignment="1">
      <alignment vertical="center" wrapText="1"/>
    </xf>
    <xf numFmtId="0" fontId="11" fillId="0" borderId="20" xfId="1" applyFont="1" applyBorder="1" applyAlignment="1">
      <alignment vertical="center" wrapText="1"/>
    </xf>
    <xf numFmtId="0" fontId="11" fillId="0" borderId="32" xfId="1" applyFont="1" applyBorder="1" applyAlignment="1">
      <alignment vertical="center" wrapText="1"/>
    </xf>
    <xf numFmtId="0" fontId="12" fillId="0" borderId="9" xfId="1" applyFont="1" applyBorder="1" applyAlignment="1">
      <alignment vertical="center" wrapText="1"/>
    </xf>
    <xf numFmtId="0" fontId="11" fillId="0" borderId="33" xfId="1" applyFont="1" applyBorder="1">
      <alignment vertical="center"/>
    </xf>
    <xf numFmtId="0" fontId="11" fillId="0" borderId="34" xfId="1" applyFont="1" applyBorder="1">
      <alignment vertical="center"/>
    </xf>
    <xf numFmtId="0" fontId="12" fillId="0" borderId="18" xfId="1" applyFont="1" applyBorder="1">
      <alignment vertical="center"/>
    </xf>
    <xf numFmtId="0" fontId="11" fillId="0" borderId="26" xfId="1" applyFont="1" applyBorder="1">
      <alignment vertical="center"/>
    </xf>
    <xf numFmtId="0" fontId="11" fillId="0" borderId="35" xfId="1" applyFont="1" applyBorder="1">
      <alignment vertical="center"/>
    </xf>
    <xf numFmtId="0" fontId="12" fillId="0" borderId="26" xfId="1" applyFont="1" applyBorder="1">
      <alignment vertical="center"/>
    </xf>
    <xf numFmtId="0" fontId="11" fillId="0" borderId="35" xfId="1" applyFont="1" applyBorder="1" applyAlignment="1">
      <alignment vertical="center" wrapText="1"/>
    </xf>
    <xf numFmtId="0" fontId="11" fillId="0" borderId="24" xfId="1" applyFont="1" applyBorder="1">
      <alignment vertical="center"/>
    </xf>
    <xf numFmtId="0" fontId="11" fillId="0" borderId="23" xfId="1" applyFont="1" applyBorder="1">
      <alignment vertical="center"/>
    </xf>
    <xf numFmtId="0" fontId="12" fillId="0" borderId="23" xfId="1" applyFont="1" applyBorder="1">
      <alignment vertical="center"/>
    </xf>
    <xf numFmtId="0" fontId="11" fillId="0" borderId="26" xfId="1" applyFont="1" applyBorder="1" applyAlignment="1">
      <alignment vertical="center" wrapText="1"/>
    </xf>
    <xf numFmtId="0" fontId="11" fillId="0" borderId="24" xfId="1" applyFont="1" applyBorder="1" applyAlignment="1">
      <alignment vertical="center" wrapText="1"/>
    </xf>
    <xf numFmtId="0" fontId="12" fillId="0" borderId="23" xfId="1" applyFont="1" applyBorder="1" applyAlignment="1">
      <alignment vertical="center" wrapText="1"/>
    </xf>
    <xf numFmtId="0" fontId="18" fillId="0" borderId="23" xfId="1" applyFont="1" applyBorder="1">
      <alignment vertical="center"/>
    </xf>
    <xf numFmtId="0" fontId="14" fillId="0" borderId="23" xfId="1" applyFont="1" applyBorder="1">
      <alignment vertical="center"/>
    </xf>
    <xf numFmtId="0" fontId="12" fillId="0" borderId="24" xfId="1" applyFont="1" applyBorder="1">
      <alignment vertical="center"/>
    </xf>
    <xf numFmtId="0" fontId="14" fillId="0" borderId="26" xfId="1" applyFont="1" applyBorder="1">
      <alignment vertical="center"/>
    </xf>
    <xf numFmtId="0" fontId="11" fillId="0" borderId="29" xfId="1" applyFont="1" applyBorder="1" applyAlignment="1">
      <alignment vertical="center" wrapText="1"/>
    </xf>
    <xf numFmtId="0" fontId="2" fillId="0" borderId="31" xfId="1" applyFont="1" applyBorder="1">
      <alignment vertical="center"/>
    </xf>
    <xf numFmtId="0" fontId="11" fillId="0" borderId="36" xfId="1" applyFont="1" applyBorder="1">
      <alignment vertical="center"/>
    </xf>
    <xf numFmtId="0" fontId="11" fillId="0" borderId="37" xfId="1" applyFont="1" applyBorder="1">
      <alignment vertical="center"/>
    </xf>
    <xf numFmtId="0" fontId="11" fillId="0" borderId="39" xfId="1" applyFont="1" applyBorder="1">
      <alignment vertical="center"/>
    </xf>
    <xf numFmtId="0" fontId="11" fillId="0" borderId="20" xfId="1" applyFont="1" applyBorder="1">
      <alignment vertical="center"/>
    </xf>
    <xf numFmtId="0" fontId="11" fillId="0" borderId="40" xfId="1" applyFont="1" applyBorder="1">
      <alignment vertical="center"/>
    </xf>
    <xf numFmtId="0" fontId="11" fillId="0" borderId="41" xfId="1" applyFont="1" applyBorder="1">
      <alignment vertical="center"/>
    </xf>
    <xf numFmtId="0" fontId="12" fillId="0" borderId="26" xfId="1" applyFont="1" applyBorder="1" applyAlignment="1">
      <alignment vertical="center" wrapText="1"/>
    </xf>
    <xf numFmtId="0" fontId="12" fillId="0" borderId="20" xfId="1" applyFont="1" applyBorder="1" applyAlignment="1">
      <alignment vertical="center" wrapText="1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4" fillId="6" borderId="1" xfId="1" applyFont="1" applyFill="1" applyBorder="1" applyAlignment="1">
      <alignment horizontal="center" vertical="center" wrapText="1"/>
    </xf>
    <xf numFmtId="0" fontId="24" fillId="6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12" fillId="0" borderId="32" xfId="1" applyFont="1" applyBorder="1" applyAlignment="1">
      <alignment vertical="center" wrapText="1"/>
    </xf>
    <xf numFmtId="0" fontId="18" fillId="0" borderId="20" xfId="1" applyFont="1" applyBorder="1" applyAlignment="1">
      <alignment vertical="center" wrapText="1"/>
    </xf>
    <xf numFmtId="0" fontId="18" fillId="0" borderId="23" xfId="1" applyFont="1" applyBorder="1" applyAlignment="1">
      <alignment vertical="center" wrapText="1"/>
    </xf>
    <xf numFmtId="0" fontId="16" fillId="0" borderId="26" xfId="1" applyFont="1" applyBorder="1" applyAlignment="1">
      <alignment vertical="center" wrapText="1"/>
    </xf>
    <xf numFmtId="0" fontId="14" fillId="0" borderId="10" xfId="1" applyFont="1" applyBorder="1">
      <alignment vertical="center"/>
    </xf>
    <xf numFmtId="176" fontId="2" fillId="4" borderId="1" xfId="1" applyNumberFormat="1" applyFont="1" applyFill="1" applyBorder="1" applyAlignment="1">
      <alignment horizontal="center" vertical="center"/>
    </xf>
    <xf numFmtId="9" fontId="2" fillId="6" borderId="1" xfId="1" applyNumberFormat="1" applyFont="1" applyFill="1" applyBorder="1" applyAlignment="1">
      <alignment horizontal="center" vertical="center"/>
    </xf>
    <xf numFmtId="9" fontId="2" fillId="4" borderId="1" xfId="1" applyNumberFormat="1" applyFont="1" applyFill="1" applyBorder="1" applyAlignment="1">
      <alignment horizontal="center" vertical="center"/>
    </xf>
    <xf numFmtId="176" fontId="2" fillId="6" borderId="1" xfId="1" applyNumberFormat="1" applyFont="1" applyFill="1" applyBorder="1" applyAlignment="1">
      <alignment horizontal="center" vertical="center"/>
    </xf>
    <xf numFmtId="0" fontId="14" fillId="0" borderId="18" xfId="1" applyFont="1" applyBorder="1">
      <alignment vertical="center"/>
    </xf>
    <xf numFmtId="0" fontId="2" fillId="0" borderId="34" xfId="1" applyFont="1" applyBorder="1">
      <alignment vertical="center"/>
    </xf>
    <xf numFmtId="0" fontId="14" fillId="0" borderId="12" xfId="1" applyFont="1" applyBorder="1" applyAlignment="1">
      <alignment vertical="center" wrapText="1"/>
    </xf>
    <xf numFmtId="0" fontId="14" fillId="0" borderId="34" xfId="1" applyFont="1" applyBorder="1" applyAlignment="1">
      <alignment vertical="center" wrapText="1"/>
    </xf>
    <xf numFmtId="176" fontId="3" fillId="4" borderId="1" xfId="1" applyNumberFormat="1" applyFont="1" applyFill="1" applyBorder="1" applyAlignment="1">
      <alignment horizontal="center" vertical="center"/>
    </xf>
    <xf numFmtId="176" fontId="3" fillId="6" borderId="1" xfId="1" applyNumberFormat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25" fillId="6" borderId="1" xfId="1" applyFont="1" applyFill="1" applyBorder="1" applyAlignment="1">
      <alignment horizontal="center" vertical="center" wrapText="1"/>
    </xf>
    <xf numFmtId="0" fontId="26" fillId="0" borderId="16" xfId="1" applyFont="1" applyBorder="1" applyAlignment="1">
      <alignment vertical="center" wrapText="1"/>
    </xf>
    <xf numFmtId="0" fontId="28" fillId="6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0" xfId="1" applyFont="1">
      <alignment vertical="center"/>
    </xf>
    <xf numFmtId="0" fontId="5" fillId="6" borderId="1" xfId="1" applyFont="1" applyFill="1" applyBorder="1" applyAlignment="1">
      <alignment horizontal="center" vertical="center"/>
    </xf>
    <xf numFmtId="0" fontId="5" fillId="6" borderId="46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9" fillId="2" borderId="23" xfId="1" applyFont="1" applyFill="1" applyBorder="1" applyAlignment="1">
      <alignment vertical="center" wrapText="1"/>
    </xf>
    <xf numFmtId="0" fontId="29" fillId="2" borderId="26" xfId="1" applyFont="1" applyFill="1" applyBorder="1" applyAlignment="1">
      <alignment vertical="center" wrapText="1"/>
    </xf>
    <xf numFmtId="0" fontId="2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30" fillId="6" borderId="1" xfId="1" applyFont="1" applyFill="1" applyBorder="1" applyAlignment="1">
      <alignment horizontal="center" vertical="center" wrapText="1"/>
    </xf>
    <xf numFmtId="0" fontId="31" fillId="6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25" fillId="0" borderId="0" xfId="1" applyFont="1">
      <alignment vertical="center"/>
    </xf>
    <xf numFmtId="0" fontId="32" fillId="0" borderId="32" xfId="1" applyFont="1" applyBorder="1" applyAlignment="1">
      <alignment vertical="center" wrapText="1"/>
    </xf>
    <xf numFmtId="0" fontId="25" fillId="0" borderId="12" xfId="1" applyFont="1" applyBorder="1">
      <alignment vertical="center"/>
    </xf>
    <xf numFmtId="0" fontId="33" fillId="4" borderId="1" xfId="1" applyFont="1" applyFill="1" applyBorder="1" applyAlignment="1">
      <alignment horizontal="center" vertical="center"/>
    </xf>
    <xf numFmtId="0" fontId="25" fillId="0" borderId="1" xfId="1" applyFont="1" applyBorder="1" applyAlignment="1">
      <alignment horizontal="center" vertical="center" wrapText="1"/>
    </xf>
    <xf numFmtId="0" fontId="34" fillId="6" borderId="1" xfId="1" applyFont="1" applyFill="1" applyBorder="1" applyAlignment="1">
      <alignment horizontal="center" vertical="center" wrapText="1"/>
    </xf>
    <xf numFmtId="0" fontId="35" fillId="6" borderId="1" xfId="1" applyFont="1" applyFill="1" applyBorder="1" applyAlignment="1">
      <alignment horizontal="center" vertical="center" wrapText="1"/>
    </xf>
    <xf numFmtId="0" fontId="36" fillId="0" borderId="20" xfId="1" applyFont="1" applyBorder="1" applyAlignment="1">
      <alignment vertical="center" wrapText="1"/>
    </xf>
    <xf numFmtId="0" fontId="36" fillId="0" borderId="23" xfId="1" applyFont="1" applyBorder="1" applyAlignment="1">
      <alignment vertical="center" wrapText="1"/>
    </xf>
    <xf numFmtId="0" fontId="25" fillId="6" borderId="1" xfId="1" applyFont="1" applyFill="1" applyBorder="1" applyAlignment="1">
      <alignment horizontal="center" vertical="center"/>
    </xf>
    <xf numFmtId="0" fontId="32" fillId="0" borderId="20" xfId="1" applyFont="1" applyBorder="1" applyAlignment="1">
      <alignment vertical="center" wrapText="1"/>
    </xf>
    <xf numFmtId="0" fontId="32" fillId="0" borderId="24" xfId="1" applyFont="1" applyBorder="1">
      <alignment vertical="center"/>
    </xf>
    <xf numFmtId="0" fontId="20" fillId="2" borderId="23" xfId="1" applyFont="1" applyFill="1" applyBorder="1" applyAlignment="1">
      <alignment vertical="center" wrapText="1"/>
    </xf>
    <xf numFmtId="0" fontId="25" fillId="7" borderId="1" xfId="1" applyFont="1" applyFill="1" applyBorder="1" applyAlignment="1">
      <alignment horizontal="center" vertical="center"/>
    </xf>
    <xf numFmtId="0" fontId="25" fillId="7" borderId="1" xfId="1" applyFont="1" applyFill="1" applyBorder="1" applyAlignment="1">
      <alignment horizontal="center" vertical="center" wrapText="1"/>
    </xf>
    <xf numFmtId="0" fontId="30" fillId="7" borderId="1" xfId="1" applyFont="1" applyFill="1" applyBorder="1" applyAlignment="1">
      <alignment horizontal="center" vertical="center" wrapText="1"/>
    </xf>
    <xf numFmtId="0" fontId="25" fillId="4" borderId="1" xfId="1" applyFont="1" applyFill="1" applyBorder="1" applyAlignment="1">
      <alignment horizontal="center" vertical="center"/>
    </xf>
    <xf numFmtId="0" fontId="32" fillId="0" borderId="26" xfId="1" applyFont="1" applyBorder="1" applyAlignment="1">
      <alignment vertical="center" wrapText="1"/>
    </xf>
    <xf numFmtId="0" fontId="20" fillId="2" borderId="26" xfId="1" applyFont="1" applyFill="1" applyBorder="1" applyAlignment="1">
      <alignment vertical="center" wrapText="1"/>
    </xf>
    <xf numFmtId="0" fontId="5" fillId="0" borderId="26" xfId="1" applyFont="1" applyBorder="1" applyAlignment="1">
      <alignment vertical="center" wrapText="1"/>
    </xf>
    <xf numFmtId="0" fontId="11" fillId="0" borderId="47" xfId="1" applyFont="1" applyBorder="1">
      <alignment vertical="center"/>
    </xf>
    <xf numFmtId="0" fontId="11" fillId="0" borderId="48" xfId="1" applyFont="1" applyBorder="1">
      <alignment vertical="center"/>
    </xf>
    <xf numFmtId="0" fontId="11" fillId="0" borderId="49" xfId="1" applyFont="1" applyBorder="1">
      <alignment vertical="center"/>
    </xf>
    <xf numFmtId="0" fontId="11" fillId="0" borderId="50" xfId="1" applyFont="1" applyBorder="1">
      <alignment vertical="center"/>
    </xf>
    <xf numFmtId="0" fontId="38" fillId="0" borderId="1" xfId="1" applyFont="1" applyBorder="1" applyAlignment="1">
      <alignment horizontal="center" vertical="center" wrapText="1"/>
    </xf>
    <xf numFmtId="0" fontId="26" fillId="0" borderId="38" xfId="1" applyFont="1" applyBorder="1" applyAlignment="1">
      <alignment vertical="center" wrapText="1"/>
    </xf>
    <xf numFmtId="0" fontId="26" fillId="0" borderId="23" xfId="1" applyFont="1" applyBorder="1" applyAlignment="1">
      <alignment vertical="center" wrapText="1"/>
    </xf>
    <xf numFmtId="0" fontId="26" fillId="0" borderId="24" xfId="1" applyFont="1" applyBorder="1" applyAlignment="1">
      <alignment vertical="center" wrapText="1"/>
    </xf>
    <xf numFmtId="0" fontId="40" fillId="6" borderId="1" xfId="1" applyFont="1" applyFill="1" applyBorder="1" applyAlignment="1">
      <alignment horizontal="center" vertical="center" wrapText="1"/>
    </xf>
    <xf numFmtId="0" fontId="40" fillId="0" borderId="1" xfId="1" applyFont="1" applyBorder="1" applyAlignment="1">
      <alignment horizontal="center" vertical="center" wrapText="1"/>
    </xf>
    <xf numFmtId="0" fontId="38" fillId="6" borderId="1" xfId="1" applyFont="1" applyFill="1" applyBorder="1" applyAlignment="1">
      <alignment horizontal="center" vertical="center" wrapText="1"/>
    </xf>
    <xf numFmtId="0" fontId="2" fillId="4" borderId="51" xfId="1" applyFont="1" applyFill="1" applyBorder="1" applyAlignment="1">
      <alignment horizontal="center" vertical="center"/>
    </xf>
    <xf numFmtId="0" fontId="2" fillId="6" borderId="51" xfId="1" applyFont="1" applyFill="1" applyBorder="1" applyAlignment="1">
      <alignment horizontal="center" vertical="center"/>
    </xf>
    <xf numFmtId="0" fontId="2" fillId="0" borderId="51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/>
    </xf>
    <xf numFmtId="0" fontId="2" fillId="6" borderId="51" xfId="1" applyFont="1" applyFill="1" applyBorder="1" applyAlignment="1">
      <alignment horizontal="center" vertical="center" wrapText="1"/>
    </xf>
    <xf numFmtId="0" fontId="5" fillId="6" borderId="51" xfId="1" applyFont="1" applyFill="1" applyBorder="1" applyAlignment="1">
      <alignment horizontal="center" vertical="center" wrapText="1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vertical="center" wrapText="1"/>
    </xf>
    <xf numFmtId="0" fontId="43" fillId="6" borderId="1" xfId="1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 vertical="center" wrapText="1"/>
    </xf>
    <xf numFmtId="0" fontId="5" fillId="6" borderId="45" xfId="1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25" fillId="4" borderId="42" xfId="1" applyFont="1" applyFill="1" applyBorder="1" applyAlignment="1">
      <alignment horizontal="center" vertical="center"/>
    </xf>
    <xf numFmtId="0" fontId="25" fillId="4" borderId="43" xfId="1" applyFont="1" applyFill="1" applyBorder="1" applyAlignment="1">
      <alignment horizontal="center" vertical="center"/>
    </xf>
    <xf numFmtId="0" fontId="25" fillId="4" borderId="44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5" fillId="6" borderId="1" xfId="1" quotePrefix="1" applyFont="1" applyFill="1" applyBorder="1" applyAlignment="1">
      <alignment horizontal="center" vertical="center"/>
    </xf>
  </cellXfs>
  <cellStyles count="3">
    <cellStyle name="보통" xfId="2" builtinId="28"/>
    <cellStyle name="표준" xfId="0" builtinId="0"/>
    <cellStyle name="표준 2" xfId="1" xr:uid="{2528C45D-845F-4BAB-B50D-0887C56FEE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1890-2116-4B4C-934E-4E813BE3825E}">
  <dimension ref="A2:R88"/>
  <sheetViews>
    <sheetView showGridLines="0" tabSelected="1" topLeftCell="G1" zoomScale="70" zoomScaleNormal="70" workbookViewId="0">
      <selection activeCell="U87" sqref="U87"/>
    </sheetView>
  </sheetViews>
  <sheetFormatPr defaultColWidth="9" defaultRowHeight="16.5"/>
  <cols>
    <col min="1" max="1" width="2.375" style="1" customWidth="1"/>
    <col min="2" max="2" width="18.375" style="1" customWidth="1"/>
    <col min="3" max="3" width="24.25" style="1" bestFit="1" customWidth="1"/>
    <col min="4" max="4" width="35.375" style="1" bestFit="1" customWidth="1"/>
    <col min="5" max="5" width="24.25" style="1" bestFit="1" customWidth="1"/>
    <col min="6" max="7" width="37.75" style="1" customWidth="1"/>
    <col min="8" max="8" width="60" style="1" customWidth="1"/>
    <col min="9" max="9" width="8.875" style="1" customWidth="1"/>
    <col min="10" max="10" width="9" style="1"/>
    <col min="11" max="11" width="14.875" style="2" customWidth="1"/>
    <col min="12" max="12" width="15.875" style="2" customWidth="1"/>
    <col min="13" max="13" width="24" style="2" bestFit="1" customWidth="1"/>
    <col min="14" max="14" width="23.75" style="2" bestFit="1" customWidth="1"/>
    <col min="15" max="15" width="22.5" style="2" bestFit="1" customWidth="1"/>
    <col min="16" max="16" width="23" style="2" bestFit="1" customWidth="1"/>
    <col min="17" max="17" width="23" style="114" bestFit="1" customWidth="1"/>
    <col min="18" max="16384" width="9" style="1"/>
  </cols>
  <sheetData>
    <row r="2" spans="2:17">
      <c r="B2" s="171" t="s">
        <v>0</v>
      </c>
      <c r="C2" s="171" t="s">
        <v>1</v>
      </c>
      <c r="D2" s="172" t="s">
        <v>2</v>
      </c>
      <c r="E2" s="171"/>
      <c r="F2" s="171" t="s">
        <v>3</v>
      </c>
      <c r="G2" s="172" t="s">
        <v>4</v>
      </c>
      <c r="H2" s="170" t="s">
        <v>5</v>
      </c>
      <c r="I2" s="170" t="s">
        <v>6</v>
      </c>
      <c r="K2" s="167" t="s">
        <v>7</v>
      </c>
      <c r="L2" s="168"/>
      <c r="M2" s="168"/>
      <c r="N2" s="168"/>
      <c r="O2" s="168"/>
      <c r="P2" s="169"/>
      <c r="Q2" s="111"/>
    </row>
    <row r="3" spans="2:17">
      <c r="B3" s="171"/>
      <c r="C3" s="171"/>
      <c r="D3" s="3"/>
      <c r="E3" s="4" t="s">
        <v>8</v>
      </c>
      <c r="F3" s="171"/>
      <c r="G3" s="173"/>
      <c r="H3" s="170"/>
      <c r="I3" s="170"/>
      <c r="K3" s="10" t="s">
        <v>9</v>
      </c>
      <c r="L3" s="85" t="s">
        <v>10</v>
      </c>
      <c r="M3" s="5" t="s">
        <v>11</v>
      </c>
      <c r="N3" s="5" t="s">
        <v>12</v>
      </c>
      <c r="O3" s="85" t="s">
        <v>13</v>
      </c>
      <c r="P3" s="85" t="s">
        <v>14</v>
      </c>
      <c r="Q3" s="112" t="s">
        <v>15</v>
      </c>
    </row>
    <row r="4" spans="2:17" ht="99" customHeight="1">
      <c r="B4" s="23" t="s">
        <v>16</v>
      </c>
      <c r="C4" s="14" t="s">
        <v>17</v>
      </c>
      <c r="D4" s="17" t="s">
        <v>18</v>
      </c>
      <c r="E4" s="17" t="s">
        <v>19</v>
      </c>
      <c r="F4" s="17"/>
      <c r="G4" s="18" t="s">
        <v>20</v>
      </c>
      <c r="H4" s="34" t="s">
        <v>21</v>
      </c>
      <c r="I4" s="6"/>
      <c r="K4" s="10">
        <v>245</v>
      </c>
      <c r="L4" s="85">
        <v>245</v>
      </c>
      <c r="M4" s="47" t="s">
        <v>22</v>
      </c>
      <c r="N4" s="5"/>
      <c r="O4" s="86" t="s">
        <v>23</v>
      </c>
      <c r="P4" s="85"/>
      <c r="Q4" s="110" t="s">
        <v>24</v>
      </c>
    </row>
    <row r="5" spans="2:17" ht="99" customHeight="1">
      <c r="B5" s="14"/>
      <c r="C5" s="14"/>
      <c r="D5" s="15"/>
      <c r="E5" s="14" t="s">
        <v>25</v>
      </c>
      <c r="F5" s="24"/>
      <c r="G5" s="16" t="s">
        <v>26</v>
      </c>
      <c r="H5" s="35" t="s">
        <v>27</v>
      </c>
      <c r="I5" s="7"/>
      <c r="K5" s="10">
        <v>44</v>
      </c>
      <c r="L5" s="85">
        <v>44</v>
      </c>
      <c r="M5" s="47" t="s">
        <v>28</v>
      </c>
      <c r="N5" s="5"/>
      <c r="O5" s="86" t="s">
        <v>29</v>
      </c>
      <c r="P5" s="85"/>
      <c r="Q5" s="110" t="s">
        <v>30</v>
      </c>
    </row>
    <row r="6" spans="2:17" ht="99" customHeight="1">
      <c r="B6" s="14"/>
      <c r="C6" s="14"/>
      <c r="D6" s="15"/>
      <c r="E6" s="14" t="s">
        <v>31</v>
      </c>
      <c r="F6" s="14"/>
      <c r="G6" s="16" t="s">
        <v>32</v>
      </c>
      <c r="H6" s="36" t="s">
        <v>33</v>
      </c>
      <c r="I6" s="7"/>
      <c r="K6" s="10">
        <v>21</v>
      </c>
      <c r="L6" s="85">
        <v>21</v>
      </c>
      <c r="M6" s="47" t="s">
        <v>34</v>
      </c>
      <c r="N6" s="5"/>
      <c r="O6" s="86" t="s">
        <v>35</v>
      </c>
      <c r="P6" s="85"/>
      <c r="Q6" s="110" t="s">
        <v>36</v>
      </c>
    </row>
    <row r="7" spans="2:17" ht="99" customHeight="1">
      <c r="B7" s="14"/>
      <c r="C7" s="14"/>
      <c r="D7" s="15"/>
      <c r="E7" s="20" t="s">
        <v>37</v>
      </c>
      <c r="F7" s="48"/>
      <c r="G7" s="22" t="s">
        <v>38</v>
      </c>
      <c r="H7" s="36" t="s">
        <v>39</v>
      </c>
      <c r="I7" s="7"/>
      <c r="K7" s="10">
        <v>46</v>
      </c>
      <c r="L7" s="85">
        <v>46</v>
      </c>
      <c r="M7" s="47" t="s">
        <v>40</v>
      </c>
      <c r="N7" s="5"/>
      <c r="O7" s="86" t="s">
        <v>41</v>
      </c>
      <c r="P7" s="85"/>
      <c r="Q7" s="110" t="s">
        <v>42</v>
      </c>
    </row>
    <row r="8" spans="2:17" ht="99" customHeight="1">
      <c r="B8" s="14"/>
      <c r="C8" s="14"/>
      <c r="D8" s="15" t="s">
        <v>43</v>
      </c>
      <c r="E8" s="11" t="s">
        <v>31</v>
      </c>
      <c r="F8" s="11"/>
      <c r="G8" s="13" t="s">
        <v>32</v>
      </c>
      <c r="H8" s="34" t="s">
        <v>33</v>
      </c>
      <c r="I8" s="8"/>
      <c r="K8" s="10">
        <v>121</v>
      </c>
      <c r="L8" s="85">
        <v>121</v>
      </c>
      <c r="M8" s="47" t="s">
        <v>44</v>
      </c>
      <c r="N8" s="5"/>
      <c r="O8" s="86" t="s">
        <v>45</v>
      </c>
      <c r="P8" s="85"/>
      <c r="Q8" s="110" t="s">
        <v>46</v>
      </c>
    </row>
    <row r="9" spans="2:17" ht="99" customHeight="1">
      <c r="B9" s="14"/>
      <c r="C9" s="14"/>
      <c r="D9" s="15"/>
      <c r="E9" s="11" t="s">
        <v>47</v>
      </c>
      <c r="F9" s="11"/>
      <c r="G9" s="95" t="s">
        <v>48</v>
      </c>
      <c r="H9" s="37"/>
      <c r="I9" s="6"/>
      <c r="K9" s="10">
        <v>256</v>
      </c>
      <c r="L9" s="85">
        <v>256</v>
      </c>
      <c r="M9" s="47" t="s">
        <v>49</v>
      </c>
      <c r="N9" s="5"/>
      <c r="O9" s="86" t="s">
        <v>50</v>
      </c>
      <c r="P9" s="85"/>
      <c r="Q9" s="110" t="s">
        <v>51</v>
      </c>
    </row>
    <row r="10" spans="2:17" ht="99" customHeight="1">
      <c r="B10" s="14"/>
      <c r="C10" s="14"/>
      <c r="D10" s="15"/>
      <c r="E10" s="14" t="s">
        <v>52</v>
      </c>
      <c r="F10" s="14"/>
      <c r="G10" s="29" t="s">
        <v>53</v>
      </c>
      <c r="H10" s="37" t="s">
        <v>54</v>
      </c>
      <c r="I10" s="6"/>
      <c r="K10" s="98">
        <f xml:space="preserve"> ROUND(121/256, 3)</f>
        <v>0.47299999999999998</v>
      </c>
      <c r="L10" s="97">
        <f xml:space="preserve"> ROUND(121/256, 3)</f>
        <v>0.47299999999999998</v>
      </c>
      <c r="M10" s="47" t="s">
        <v>44</v>
      </c>
      <c r="N10" s="47" t="s">
        <v>49</v>
      </c>
      <c r="O10" s="86" t="s">
        <v>45</v>
      </c>
      <c r="P10" s="86" t="s">
        <v>50</v>
      </c>
      <c r="Q10" s="110" t="s">
        <v>55</v>
      </c>
    </row>
    <row r="11" spans="2:17" ht="99" customHeight="1">
      <c r="B11" s="14"/>
      <c r="C11" s="14"/>
      <c r="D11" s="15"/>
      <c r="E11" s="14" t="s">
        <v>56</v>
      </c>
      <c r="F11" s="14"/>
      <c r="G11" s="29" t="s">
        <v>57</v>
      </c>
      <c r="H11" s="37"/>
      <c r="I11" s="6"/>
      <c r="K11" s="10">
        <v>128</v>
      </c>
      <c r="L11" s="85">
        <v>128</v>
      </c>
      <c r="M11" s="47" t="s">
        <v>58</v>
      </c>
      <c r="N11" s="47"/>
      <c r="O11" s="86" t="s">
        <v>59</v>
      </c>
      <c r="P11" s="86"/>
      <c r="Q11" s="110" t="s">
        <v>60</v>
      </c>
    </row>
    <row r="12" spans="2:17" ht="99" customHeight="1">
      <c r="B12" s="14"/>
      <c r="C12" s="14"/>
      <c r="D12" s="15"/>
      <c r="E12" s="14" t="s">
        <v>61</v>
      </c>
      <c r="F12" s="24"/>
      <c r="G12" s="25" t="s">
        <v>62</v>
      </c>
      <c r="H12" s="37" t="s">
        <v>63</v>
      </c>
      <c r="I12" s="7"/>
      <c r="K12" s="96">
        <f>ROUND(121/128, 3)</f>
        <v>0.94499999999999995</v>
      </c>
      <c r="L12" s="99">
        <f>ROUND(121/128, 3)</f>
        <v>0.94499999999999995</v>
      </c>
      <c r="M12" s="47" t="s">
        <v>44</v>
      </c>
      <c r="N12" s="47" t="s">
        <v>58</v>
      </c>
      <c r="O12" s="86" t="s">
        <v>45</v>
      </c>
      <c r="P12" s="86" t="s">
        <v>59</v>
      </c>
      <c r="Q12" s="110" t="s">
        <v>64</v>
      </c>
    </row>
    <row r="13" spans="2:17" ht="99" customHeight="1">
      <c r="B13" s="14"/>
      <c r="C13" s="14"/>
      <c r="D13" s="15"/>
      <c r="E13" s="14" t="s">
        <v>65</v>
      </c>
      <c r="F13" s="24"/>
      <c r="G13" s="25" t="s">
        <v>66</v>
      </c>
      <c r="H13" s="37"/>
      <c r="I13" s="7"/>
      <c r="K13" s="10">
        <f xml:space="preserve"> ROUND(478 / 3, 0)</f>
        <v>159</v>
      </c>
      <c r="L13" s="85">
        <f xml:space="preserve"> ROUND(478 / 3, 0)</f>
        <v>159</v>
      </c>
      <c r="M13" s="47" t="s">
        <v>67</v>
      </c>
      <c r="N13" s="47"/>
      <c r="O13" s="86" t="s">
        <v>68</v>
      </c>
      <c r="P13" s="86"/>
      <c r="Q13" s="110" t="s">
        <v>69</v>
      </c>
    </row>
    <row r="14" spans="2:17" ht="99" customHeight="1">
      <c r="B14" s="14"/>
      <c r="C14" s="14"/>
      <c r="D14" s="15"/>
      <c r="E14" s="14" t="s">
        <v>70</v>
      </c>
      <c r="F14" s="26"/>
      <c r="G14" s="102" t="s">
        <v>71</v>
      </c>
      <c r="H14" s="39" t="s">
        <v>72</v>
      </c>
      <c r="I14" s="7"/>
      <c r="K14" s="96">
        <f xml:space="preserve"> ROUND(121 / 159, 3)</f>
        <v>0.76100000000000001</v>
      </c>
      <c r="L14" s="99">
        <f xml:space="preserve"> ROUND(121 / 159, 3)</f>
        <v>0.76100000000000001</v>
      </c>
      <c r="M14" s="47" t="s">
        <v>44</v>
      </c>
      <c r="N14" s="47" t="s">
        <v>73</v>
      </c>
      <c r="O14" s="86" t="s">
        <v>45</v>
      </c>
      <c r="P14" s="86" t="s">
        <v>74</v>
      </c>
      <c r="Q14" s="110" t="s">
        <v>75</v>
      </c>
    </row>
    <row r="15" spans="2:17" ht="99" customHeight="1">
      <c r="B15" s="14"/>
      <c r="C15" s="19"/>
      <c r="D15" s="15"/>
      <c r="E15" s="14" t="s">
        <v>76</v>
      </c>
      <c r="F15" s="100"/>
      <c r="G15" s="103" t="s">
        <v>77</v>
      </c>
      <c r="H15" s="39"/>
      <c r="I15" s="101"/>
      <c r="K15" s="10">
        <f xml:space="preserve"> ROUND(768 / 6, 1)</f>
        <v>128</v>
      </c>
      <c r="L15" s="85">
        <f xml:space="preserve"> ROUND(768 / 6, 1)</f>
        <v>128</v>
      </c>
      <c r="M15" s="47" t="s">
        <v>78</v>
      </c>
      <c r="N15" s="47"/>
      <c r="O15" s="86" t="s">
        <v>79</v>
      </c>
      <c r="P15" s="86"/>
      <c r="Q15" s="110" t="s">
        <v>80</v>
      </c>
    </row>
    <row r="16" spans="2:17" ht="99" customHeight="1">
      <c r="B16" s="14"/>
      <c r="C16" s="20"/>
      <c r="D16" s="15"/>
      <c r="E16" s="14" t="s">
        <v>81</v>
      </c>
      <c r="F16" s="32"/>
      <c r="G16" s="102" t="s">
        <v>82</v>
      </c>
      <c r="H16" s="38" t="s">
        <v>83</v>
      </c>
      <c r="I16" s="9"/>
      <c r="K16" s="104">
        <f xml:space="preserve"> ROUND(121 / 128, 3)</f>
        <v>0.94499999999999995</v>
      </c>
      <c r="L16" s="105">
        <f xml:space="preserve"> ROUND(121 / 128, 3)</f>
        <v>0.94499999999999995</v>
      </c>
      <c r="M16" s="47" t="s">
        <v>44</v>
      </c>
      <c r="N16" s="47" t="s">
        <v>84</v>
      </c>
      <c r="O16" s="86" t="s">
        <v>45</v>
      </c>
      <c r="P16" s="86" t="s">
        <v>85</v>
      </c>
      <c r="Q16" s="110" t="s">
        <v>86</v>
      </c>
    </row>
    <row r="17" spans="2:18" ht="99" customHeight="1">
      <c r="B17" s="14"/>
      <c r="C17" s="11" t="s">
        <v>87</v>
      </c>
      <c r="D17" s="17" t="s">
        <v>18</v>
      </c>
      <c r="E17" s="17" t="s">
        <v>88</v>
      </c>
      <c r="F17" s="11"/>
      <c r="G17" s="13" t="s">
        <v>89</v>
      </c>
      <c r="H17" s="40" t="s">
        <v>90</v>
      </c>
      <c r="I17" s="6"/>
      <c r="K17" s="10">
        <v>144</v>
      </c>
      <c r="L17" s="85">
        <v>144</v>
      </c>
      <c r="M17" s="47" t="s">
        <v>91</v>
      </c>
      <c r="N17" s="5"/>
      <c r="O17" s="86" t="s">
        <v>92</v>
      </c>
      <c r="P17" s="85"/>
      <c r="Q17" s="110" t="s">
        <v>93</v>
      </c>
    </row>
    <row r="18" spans="2:18" ht="99" customHeight="1">
      <c r="B18" s="14"/>
      <c r="C18" s="14"/>
      <c r="D18" s="15"/>
      <c r="E18" s="14" t="s">
        <v>94</v>
      </c>
      <c r="F18" s="14"/>
      <c r="G18" s="16" t="s">
        <v>95</v>
      </c>
      <c r="H18" s="35" t="s">
        <v>96</v>
      </c>
      <c r="I18" s="7"/>
      <c r="K18" s="10">
        <v>74</v>
      </c>
      <c r="L18" s="85">
        <v>74</v>
      </c>
      <c r="M18" s="47" t="s">
        <v>97</v>
      </c>
      <c r="N18" s="5"/>
      <c r="O18" s="86" t="s">
        <v>98</v>
      </c>
      <c r="P18" s="85"/>
      <c r="Q18" s="110" t="s">
        <v>99</v>
      </c>
    </row>
    <row r="19" spans="2:18" ht="99" customHeight="1">
      <c r="B19" s="14"/>
      <c r="C19" s="14"/>
      <c r="D19" s="15"/>
      <c r="E19" s="14" t="s">
        <v>100</v>
      </c>
      <c r="F19" s="14"/>
      <c r="G19" s="16" t="s">
        <v>101</v>
      </c>
      <c r="H19" s="36" t="s">
        <v>102</v>
      </c>
      <c r="I19" s="7"/>
      <c r="K19" s="10">
        <v>65</v>
      </c>
      <c r="L19" s="85">
        <v>65</v>
      </c>
      <c r="M19" s="47" t="s">
        <v>103</v>
      </c>
      <c r="N19" s="5"/>
      <c r="O19" s="86" t="s">
        <v>104</v>
      </c>
      <c r="P19" s="85"/>
      <c r="Q19" s="110" t="s">
        <v>105</v>
      </c>
    </row>
    <row r="20" spans="2:18" ht="99" customHeight="1">
      <c r="B20" s="14"/>
      <c r="C20" s="14"/>
      <c r="D20" s="15"/>
      <c r="E20" s="20" t="s">
        <v>37</v>
      </c>
      <c r="F20" s="48"/>
      <c r="G20" s="108" t="s">
        <v>106</v>
      </c>
      <c r="H20" s="36" t="s">
        <v>107</v>
      </c>
      <c r="I20" s="7"/>
      <c r="K20" s="10">
        <v>74</v>
      </c>
      <c r="L20" s="85">
        <v>74</v>
      </c>
      <c r="M20" s="47" t="s">
        <v>108</v>
      </c>
      <c r="N20" s="5"/>
      <c r="O20" s="86" t="s">
        <v>109</v>
      </c>
      <c r="P20" s="85"/>
      <c r="Q20" s="110" t="s">
        <v>110</v>
      </c>
    </row>
    <row r="21" spans="2:18" ht="99" customHeight="1">
      <c r="B21" s="14"/>
      <c r="C21" s="14"/>
      <c r="D21" s="15" t="s">
        <v>43</v>
      </c>
      <c r="E21" s="11" t="s">
        <v>31</v>
      </c>
      <c r="F21" s="11"/>
      <c r="G21" s="13" t="s">
        <v>101</v>
      </c>
      <c r="H21" s="34" t="s">
        <v>102</v>
      </c>
      <c r="I21" s="7"/>
      <c r="K21" s="10">
        <v>116</v>
      </c>
      <c r="L21" s="85">
        <v>116</v>
      </c>
      <c r="M21" s="47" t="s">
        <v>111</v>
      </c>
      <c r="N21" s="5"/>
      <c r="O21" s="86" t="s">
        <v>112</v>
      </c>
      <c r="P21" s="85"/>
      <c r="Q21" s="110" t="s">
        <v>113</v>
      </c>
    </row>
    <row r="22" spans="2:18" ht="99" customHeight="1">
      <c r="B22" s="14"/>
      <c r="C22" s="14"/>
      <c r="D22" s="15"/>
      <c r="E22" s="11" t="s">
        <v>47</v>
      </c>
      <c r="F22" s="11"/>
      <c r="G22" s="95" t="s">
        <v>114</v>
      </c>
      <c r="H22" s="40"/>
      <c r="I22" s="7"/>
      <c r="K22" s="10">
        <v>161</v>
      </c>
      <c r="L22" s="85">
        <v>161</v>
      </c>
      <c r="M22" s="47" t="s">
        <v>115</v>
      </c>
      <c r="N22" s="5"/>
      <c r="O22" s="86" t="s">
        <v>116</v>
      </c>
      <c r="P22" s="85"/>
      <c r="Q22" s="110" t="s">
        <v>117</v>
      </c>
    </row>
    <row r="23" spans="2:18" ht="99" customHeight="1">
      <c r="B23" s="14"/>
      <c r="C23" s="14"/>
      <c r="D23" s="15"/>
      <c r="E23" s="14" t="s">
        <v>52</v>
      </c>
      <c r="F23" s="14"/>
      <c r="G23" s="29" t="s">
        <v>118</v>
      </c>
      <c r="H23" s="37" t="s">
        <v>119</v>
      </c>
      <c r="I23" s="7"/>
      <c r="K23" s="96">
        <f xml:space="preserve"> ROUND(116 / 161, 3)</f>
        <v>0.72</v>
      </c>
      <c r="L23" s="99">
        <f xml:space="preserve"> ROUND(116 / 161, 3)</f>
        <v>0.72</v>
      </c>
      <c r="M23" s="47" t="s">
        <v>111</v>
      </c>
      <c r="N23" s="47" t="s">
        <v>115</v>
      </c>
      <c r="O23" s="86" t="s">
        <v>112</v>
      </c>
      <c r="P23" s="86" t="s">
        <v>116</v>
      </c>
      <c r="Q23" s="110" t="s">
        <v>120</v>
      </c>
    </row>
    <row r="24" spans="2:18" ht="99" customHeight="1">
      <c r="B24" s="14"/>
      <c r="C24" s="14"/>
      <c r="D24" s="15"/>
      <c r="E24" s="14" t="s">
        <v>121</v>
      </c>
      <c r="F24" s="14"/>
      <c r="G24" s="95" t="s">
        <v>122</v>
      </c>
      <c r="H24" s="37"/>
      <c r="I24" s="7"/>
      <c r="K24" s="10">
        <v>287</v>
      </c>
      <c r="L24" s="85">
        <v>287</v>
      </c>
      <c r="M24" s="47" t="s">
        <v>123</v>
      </c>
      <c r="N24" s="47"/>
      <c r="O24" s="86" t="s">
        <v>124</v>
      </c>
      <c r="P24" s="86"/>
      <c r="Q24" s="110" t="s">
        <v>125</v>
      </c>
    </row>
    <row r="25" spans="2:18" ht="99" customHeight="1">
      <c r="B25" s="14"/>
      <c r="C25" s="14"/>
      <c r="D25" s="15"/>
      <c r="E25" s="14" t="s">
        <v>61</v>
      </c>
      <c r="F25" s="14"/>
      <c r="G25" s="25" t="s">
        <v>126</v>
      </c>
      <c r="H25" s="37" t="s">
        <v>127</v>
      </c>
      <c r="I25" s="7"/>
      <c r="K25" s="96">
        <f xml:space="preserve"> ROUND(116 / 287, 3)</f>
        <v>0.40400000000000003</v>
      </c>
      <c r="L25" s="99">
        <f xml:space="preserve"> ROUND(116 / 287, 3)</f>
        <v>0.40400000000000003</v>
      </c>
      <c r="M25" s="47" t="s">
        <v>111</v>
      </c>
      <c r="N25" s="47" t="s">
        <v>123</v>
      </c>
      <c r="O25" s="86" t="s">
        <v>112</v>
      </c>
      <c r="P25" s="86" t="s">
        <v>124</v>
      </c>
      <c r="Q25" s="110" t="s">
        <v>128</v>
      </c>
    </row>
    <row r="26" spans="2:18" ht="99" customHeight="1">
      <c r="B26" s="14"/>
      <c r="C26" s="14"/>
      <c r="D26" s="15"/>
      <c r="E26" s="14" t="s">
        <v>129</v>
      </c>
      <c r="F26" s="14"/>
      <c r="G26" s="25" t="s">
        <v>130</v>
      </c>
      <c r="H26" s="37"/>
      <c r="I26" s="6"/>
      <c r="K26" s="10">
        <f xml:space="preserve"> ROUND(587 / 3, 0)</f>
        <v>196</v>
      </c>
      <c r="L26" s="85">
        <f xml:space="preserve"> ROUND(587 / 3, 0)</f>
        <v>196</v>
      </c>
      <c r="M26" s="47" t="s">
        <v>131</v>
      </c>
      <c r="N26" s="47"/>
      <c r="O26" s="86" t="s">
        <v>132</v>
      </c>
      <c r="P26" s="86"/>
      <c r="Q26" s="110" t="s">
        <v>133</v>
      </c>
    </row>
    <row r="27" spans="2:18" ht="99" customHeight="1">
      <c r="B27" s="14"/>
      <c r="C27" s="14"/>
      <c r="D27" s="15"/>
      <c r="E27" s="14" t="s">
        <v>70</v>
      </c>
      <c r="F27" s="14"/>
      <c r="G27" s="30" t="s">
        <v>134</v>
      </c>
      <c r="H27" s="37" t="s">
        <v>135</v>
      </c>
      <c r="I27" s="8"/>
      <c r="K27" s="96">
        <f xml:space="preserve"> ROUND(116 / 196, 3)</f>
        <v>0.59199999999999997</v>
      </c>
      <c r="L27" s="99">
        <f xml:space="preserve"> ROUND(116 / 196, 3)</f>
        <v>0.59199999999999997</v>
      </c>
      <c r="M27" s="47" t="s">
        <v>111</v>
      </c>
      <c r="N27" s="47" t="s">
        <v>131</v>
      </c>
      <c r="O27" s="86" t="s">
        <v>112</v>
      </c>
      <c r="P27" s="86" t="s">
        <v>132</v>
      </c>
      <c r="Q27" s="110" t="s">
        <v>136</v>
      </c>
    </row>
    <row r="28" spans="2:18" ht="99" customHeight="1">
      <c r="B28" s="19"/>
      <c r="C28" s="19"/>
      <c r="D28" s="58"/>
      <c r="E28" s="19" t="s">
        <v>76</v>
      </c>
      <c r="F28" s="19"/>
      <c r="G28" s="25" t="s">
        <v>137</v>
      </c>
      <c r="H28" s="37"/>
      <c r="I28" s="6"/>
      <c r="K28" s="10">
        <f xml:space="preserve"> ROUND(1275 / 6, 0)</f>
        <v>213</v>
      </c>
      <c r="L28" s="85">
        <f xml:space="preserve"> ROUND(1275 / 6, 0)</f>
        <v>213</v>
      </c>
      <c r="M28" s="47" t="s">
        <v>138</v>
      </c>
      <c r="N28" s="47"/>
      <c r="O28" s="86" t="s">
        <v>139</v>
      </c>
      <c r="P28" s="86"/>
      <c r="Q28" s="110" t="s">
        <v>140</v>
      </c>
    </row>
    <row r="29" spans="2:18" ht="99" customHeight="1">
      <c r="B29" s="62"/>
      <c r="C29" s="20"/>
      <c r="D29" s="20"/>
      <c r="E29" s="20" t="s">
        <v>81</v>
      </c>
      <c r="F29" s="20"/>
      <c r="G29" s="33" t="s">
        <v>141</v>
      </c>
      <c r="H29" s="41" t="s">
        <v>142</v>
      </c>
      <c r="I29" s="7"/>
      <c r="K29" s="96">
        <f xml:space="preserve"> ROUND(116/213, 3)</f>
        <v>0.54500000000000004</v>
      </c>
      <c r="L29" s="99">
        <f xml:space="preserve"> ROUND(116/213, 3)</f>
        <v>0.54500000000000004</v>
      </c>
      <c r="M29" s="47" t="s">
        <v>111</v>
      </c>
      <c r="N29" s="47" t="s">
        <v>138</v>
      </c>
      <c r="O29" s="86" t="s">
        <v>112</v>
      </c>
      <c r="P29" s="86" t="s">
        <v>139</v>
      </c>
      <c r="Q29" s="110" t="s">
        <v>143</v>
      </c>
    </row>
    <row r="30" spans="2:18" ht="99" customHeight="1">
      <c r="B30" s="80"/>
      <c r="C30" s="78" t="s">
        <v>144</v>
      </c>
      <c r="D30" s="78"/>
      <c r="E30" s="77" t="s">
        <v>145</v>
      </c>
      <c r="F30" s="77"/>
      <c r="G30" s="147" t="s">
        <v>146</v>
      </c>
      <c r="H30" s="91" t="s">
        <v>147</v>
      </c>
      <c r="I30" s="7"/>
      <c r="K30" s="89">
        <f xml:space="preserve"> ROUND(242 / 100 * 1200, -1)</f>
        <v>2900</v>
      </c>
      <c r="L30" s="88">
        <f xml:space="preserve"> ROUND(243 / 100 * 1200, -1)</f>
        <v>2920</v>
      </c>
      <c r="M30" s="146" t="s">
        <v>148</v>
      </c>
      <c r="N30" s="146" t="s">
        <v>149</v>
      </c>
      <c r="O30" s="161" t="s">
        <v>150</v>
      </c>
      <c r="P30" s="152" t="s">
        <v>149</v>
      </c>
      <c r="Q30" s="120" t="s">
        <v>151</v>
      </c>
    </row>
    <row r="31" spans="2:18" ht="99" customHeight="1">
      <c r="B31" s="66"/>
      <c r="C31" s="65"/>
      <c r="D31" s="65"/>
      <c r="E31" s="66" t="s">
        <v>152</v>
      </c>
      <c r="F31" s="65"/>
      <c r="G31" s="148" t="s">
        <v>153</v>
      </c>
      <c r="H31" s="92" t="s">
        <v>147</v>
      </c>
      <c r="I31" s="7"/>
      <c r="K31" s="89">
        <f xml:space="preserve"> ROUND(182 / 106 * 1200, -1)</f>
        <v>2060</v>
      </c>
      <c r="L31" s="88">
        <f xml:space="preserve"> ROUND(183 / 106 * 1200, -1)</f>
        <v>2070</v>
      </c>
      <c r="M31" s="146" t="s">
        <v>154</v>
      </c>
      <c r="N31" s="146" t="s">
        <v>155</v>
      </c>
      <c r="O31" s="161" t="s">
        <v>156</v>
      </c>
      <c r="P31" s="152" t="s">
        <v>155</v>
      </c>
      <c r="Q31" s="120" t="s">
        <v>157</v>
      </c>
    </row>
    <row r="32" spans="2:18" ht="99" customHeight="1">
      <c r="B32" s="65"/>
      <c r="C32" s="82"/>
      <c r="D32" s="82"/>
      <c r="E32" s="65" t="s">
        <v>158</v>
      </c>
      <c r="F32" s="69"/>
      <c r="G32" s="149" t="s">
        <v>159</v>
      </c>
      <c r="H32" s="93" t="s">
        <v>147</v>
      </c>
      <c r="I32" s="7"/>
      <c r="K32" s="89">
        <f xml:space="preserve"> ROUND(160 / 113 * 1200, -1)</f>
        <v>1700</v>
      </c>
      <c r="L32" s="88">
        <f xml:space="preserve"> ROUND(161 / 113 * 1200, -1)</f>
        <v>1710</v>
      </c>
      <c r="M32" s="146" t="s">
        <v>160</v>
      </c>
      <c r="N32" s="146" t="s">
        <v>161</v>
      </c>
      <c r="O32" s="152" t="s">
        <v>162</v>
      </c>
      <c r="P32" s="152" t="s">
        <v>161</v>
      </c>
      <c r="Q32" s="120" t="s">
        <v>163</v>
      </c>
      <c r="R32" s="1" t="s">
        <v>164</v>
      </c>
    </row>
    <row r="33" spans="1:18" ht="99" customHeight="1">
      <c r="B33" s="65"/>
      <c r="C33" s="81"/>
      <c r="D33" s="81"/>
      <c r="E33" s="80" t="s">
        <v>165</v>
      </c>
      <c r="F33" s="81"/>
      <c r="G33" s="84" t="s">
        <v>166</v>
      </c>
      <c r="H33" s="93" t="s">
        <v>147</v>
      </c>
      <c r="I33" s="7"/>
      <c r="K33" s="89">
        <f>ROUND((2900+2060+1700) / 3, -1)</f>
        <v>2220</v>
      </c>
      <c r="L33" s="88">
        <f xml:space="preserve"> ROUND((2920+2070+1710) / 3, -1)</f>
        <v>2230</v>
      </c>
      <c r="M33" s="47"/>
      <c r="N33" s="47"/>
      <c r="O33" s="87"/>
      <c r="P33" s="86"/>
      <c r="Q33" s="110" t="s">
        <v>167</v>
      </c>
    </row>
    <row r="34" spans="1:18" ht="99" customHeight="1">
      <c r="B34" s="66"/>
      <c r="C34" s="65"/>
      <c r="D34" s="65"/>
      <c r="E34" s="66" t="s">
        <v>168</v>
      </c>
      <c r="F34" s="73" t="s">
        <v>169</v>
      </c>
      <c r="G34" s="115" t="s">
        <v>170</v>
      </c>
      <c r="H34" s="93" t="s">
        <v>147</v>
      </c>
      <c r="I34" s="7"/>
      <c r="K34" s="117"/>
      <c r="L34" s="117"/>
      <c r="M34" s="117"/>
      <c r="N34" s="118"/>
      <c r="O34" s="117"/>
      <c r="P34" s="118"/>
      <c r="Q34" s="121"/>
    </row>
    <row r="35" spans="1:18" ht="99" customHeight="1">
      <c r="B35" s="65"/>
      <c r="C35" s="82"/>
      <c r="D35" s="82"/>
      <c r="E35" s="65" t="s">
        <v>171</v>
      </c>
      <c r="F35" s="65"/>
      <c r="G35" s="147" t="s">
        <v>172</v>
      </c>
      <c r="H35" s="93" t="s">
        <v>147</v>
      </c>
      <c r="I35" s="7"/>
      <c r="K35" s="10">
        <f xml:space="preserve"> ROUND((204/100) * 1200, -1)</f>
        <v>2450</v>
      </c>
      <c r="L35" s="85">
        <f xml:space="preserve"> ROUND((204/100) * 1200, -1)</f>
        <v>2450</v>
      </c>
      <c r="M35" s="146" t="s">
        <v>173</v>
      </c>
      <c r="N35" s="146" t="s">
        <v>149</v>
      </c>
      <c r="O35" s="152" t="s">
        <v>174</v>
      </c>
      <c r="P35" s="152" t="s">
        <v>149</v>
      </c>
      <c r="Q35" s="120" t="s">
        <v>175</v>
      </c>
    </row>
    <row r="36" spans="1:18" ht="99" customHeight="1">
      <c r="B36" s="65"/>
      <c r="C36" s="81"/>
      <c r="D36" s="81"/>
      <c r="E36" s="65" t="s">
        <v>176</v>
      </c>
      <c r="F36" s="81"/>
      <c r="G36" s="148" t="s">
        <v>177</v>
      </c>
      <c r="H36" s="93" t="s">
        <v>147</v>
      </c>
      <c r="I36" s="7"/>
      <c r="K36" s="10">
        <f xml:space="preserve"> ROUND((238/106) * 1200, -1)</f>
        <v>2690</v>
      </c>
      <c r="L36" s="85">
        <f xml:space="preserve"> ROUND((238/106) * 1200, -1)</f>
        <v>2690</v>
      </c>
      <c r="M36" s="146" t="s">
        <v>178</v>
      </c>
      <c r="N36" s="146" t="s">
        <v>155</v>
      </c>
      <c r="O36" s="152" t="s">
        <v>179</v>
      </c>
      <c r="P36" s="152" t="s">
        <v>155</v>
      </c>
      <c r="Q36" s="120" t="s">
        <v>180</v>
      </c>
    </row>
    <row r="37" spans="1:18" ht="99" customHeight="1">
      <c r="B37" s="66"/>
      <c r="C37" s="65"/>
      <c r="D37" s="65"/>
      <c r="E37" s="65" t="s">
        <v>181</v>
      </c>
      <c r="F37" s="65"/>
      <c r="G37" s="149" t="s">
        <v>182</v>
      </c>
      <c r="H37" s="93" t="s">
        <v>147</v>
      </c>
      <c r="I37" s="7"/>
      <c r="K37" s="10">
        <f>ROUND((250/113) * 1200, -1)</f>
        <v>2650</v>
      </c>
      <c r="L37" s="85">
        <f>ROUND((250/113) * 1200, -1)</f>
        <v>2650</v>
      </c>
      <c r="M37" s="146" t="s">
        <v>183</v>
      </c>
      <c r="N37" s="146" t="s">
        <v>161</v>
      </c>
      <c r="O37" s="152" t="s">
        <v>184</v>
      </c>
      <c r="P37" s="152" t="s">
        <v>161</v>
      </c>
      <c r="Q37" s="120" t="s">
        <v>185</v>
      </c>
    </row>
    <row r="38" spans="1:18" ht="99" customHeight="1">
      <c r="B38" s="66"/>
      <c r="C38" s="143"/>
      <c r="D38" s="82"/>
      <c r="E38" s="65" t="s">
        <v>186</v>
      </c>
      <c r="F38" s="65"/>
      <c r="G38" s="84" t="s">
        <v>187</v>
      </c>
      <c r="H38" s="93" t="s">
        <v>147</v>
      </c>
      <c r="I38" s="7"/>
      <c r="K38" s="10">
        <f xml:space="preserve"> ROUND((2450+2690+2650) / 3, -1)</f>
        <v>2600</v>
      </c>
      <c r="L38" s="85">
        <f xml:space="preserve"> ROUND((2450+2690+2650) / 3, -1)</f>
        <v>2600</v>
      </c>
      <c r="M38" s="47"/>
      <c r="N38" s="47"/>
      <c r="O38" s="86"/>
      <c r="P38" s="107"/>
      <c r="Q38" s="110" t="s">
        <v>188</v>
      </c>
    </row>
    <row r="39" spans="1:18" ht="99" customHeight="1">
      <c r="B39" s="145"/>
      <c r="C39" s="144"/>
      <c r="D39" s="142"/>
      <c r="E39" s="61" t="s">
        <v>168</v>
      </c>
      <c r="F39" s="83" t="s">
        <v>169</v>
      </c>
      <c r="G39" s="116" t="s">
        <v>170</v>
      </c>
      <c r="H39" s="94" t="s">
        <v>147</v>
      </c>
      <c r="I39" s="7"/>
      <c r="K39" s="117"/>
      <c r="L39" s="117"/>
      <c r="M39" s="117"/>
      <c r="N39" s="118"/>
      <c r="O39" s="117"/>
      <c r="P39" s="118"/>
      <c r="Q39" s="121"/>
    </row>
    <row r="40" spans="1:18" ht="99" customHeight="1">
      <c r="A40" s="122"/>
      <c r="B40" s="80"/>
      <c r="C40" s="49" t="s">
        <v>189</v>
      </c>
      <c r="D40" s="78"/>
      <c r="E40" s="77" t="s">
        <v>145</v>
      </c>
      <c r="F40" s="77"/>
      <c r="G40" s="147" t="s">
        <v>190</v>
      </c>
      <c r="H40" s="123" t="s">
        <v>147</v>
      </c>
      <c r="I40" s="124"/>
      <c r="J40" s="122"/>
      <c r="K40" s="125">
        <f xml:space="preserve"> ROUND(103 / 100 * 1200, -1)</f>
        <v>1240</v>
      </c>
      <c r="L40" s="131">
        <f xml:space="preserve"> ROUND(103 / 100 * 1200, -1)</f>
        <v>1240</v>
      </c>
      <c r="M40" s="162" t="s">
        <v>191</v>
      </c>
      <c r="N40" s="146" t="s">
        <v>149</v>
      </c>
      <c r="O40" s="152" t="s">
        <v>192</v>
      </c>
      <c r="P40" s="150" t="s">
        <v>149</v>
      </c>
      <c r="Q40" s="128" t="s">
        <v>193</v>
      </c>
      <c r="R40" s="122"/>
    </row>
    <row r="41" spans="1:18" ht="99" customHeight="1">
      <c r="A41" s="122"/>
      <c r="B41" s="66"/>
      <c r="C41" s="65"/>
      <c r="D41" s="65"/>
      <c r="E41" s="66" t="s">
        <v>152</v>
      </c>
      <c r="F41" s="65"/>
      <c r="G41" s="148" t="s">
        <v>194</v>
      </c>
      <c r="H41" s="129" t="s">
        <v>147</v>
      </c>
      <c r="I41" s="124"/>
      <c r="J41" s="122"/>
      <c r="K41" s="125">
        <f xml:space="preserve"> ROUND(119 / 106 * 1200, -1)</f>
        <v>1350</v>
      </c>
      <c r="L41" s="131">
        <f xml:space="preserve"> ROUND(119 / 106 * 1200, -1)</f>
        <v>1350</v>
      </c>
      <c r="M41" s="162" t="s">
        <v>195</v>
      </c>
      <c r="N41" s="146" t="s">
        <v>155</v>
      </c>
      <c r="O41" s="152" t="s">
        <v>196</v>
      </c>
      <c r="P41" s="150" t="s">
        <v>155</v>
      </c>
      <c r="Q41" s="128" t="s">
        <v>197</v>
      </c>
      <c r="R41" s="122"/>
    </row>
    <row r="42" spans="1:18" ht="99" customHeight="1">
      <c r="A42" s="122"/>
      <c r="B42" s="65"/>
      <c r="C42" s="82"/>
      <c r="D42" s="82"/>
      <c r="E42" s="65" t="s">
        <v>158</v>
      </c>
      <c r="F42" s="69"/>
      <c r="G42" s="149" t="s">
        <v>198</v>
      </c>
      <c r="H42" s="130" t="s">
        <v>147</v>
      </c>
      <c r="I42" s="124"/>
      <c r="J42" s="122"/>
      <c r="K42" s="125">
        <f xml:space="preserve"> ROUND(256 / 113 * 1200, -1)</f>
        <v>2720</v>
      </c>
      <c r="L42" s="131">
        <f xml:space="preserve"> ROUND(256 / 113 * 1200, -1)</f>
        <v>2720</v>
      </c>
      <c r="M42" s="162" t="s">
        <v>199</v>
      </c>
      <c r="N42" s="151" t="s">
        <v>161</v>
      </c>
      <c r="O42" s="152" t="s">
        <v>200</v>
      </c>
      <c r="P42" s="150" t="s">
        <v>161</v>
      </c>
      <c r="Q42" s="128" t="s">
        <v>201</v>
      </c>
      <c r="R42" s="122"/>
    </row>
    <row r="43" spans="1:18" ht="99" customHeight="1">
      <c r="A43" s="122"/>
      <c r="B43" s="65"/>
      <c r="C43" s="81"/>
      <c r="D43" s="81"/>
      <c r="E43" s="80" t="s">
        <v>165</v>
      </c>
      <c r="F43" s="81"/>
      <c r="G43" s="132" t="s">
        <v>166</v>
      </c>
      <c r="H43" s="130" t="s">
        <v>147</v>
      </c>
      <c r="I43" s="124"/>
      <c r="J43" s="122"/>
      <c r="K43" s="125">
        <f>ROUND((1240+1350+2720) / 3, -1)</f>
        <v>1770</v>
      </c>
      <c r="L43" s="131">
        <f xml:space="preserve"> ROUND((1240+1350+2720) / 3, -1)</f>
        <v>1770</v>
      </c>
      <c r="M43" s="126"/>
      <c r="N43" s="126"/>
      <c r="O43" s="127"/>
      <c r="P43" s="107"/>
      <c r="Q43" s="128" t="s">
        <v>202</v>
      </c>
      <c r="R43" s="122"/>
    </row>
    <row r="44" spans="1:18" ht="99" customHeight="1">
      <c r="A44" s="122"/>
      <c r="B44" s="66"/>
      <c r="C44" s="65"/>
      <c r="D44" s="65"/>
      <c r="E44" s="66" t="s">
        <v>168</v>
      </c>
      <c r="F44" s="133" t="s">
        <v>169</v>
      </c>
      <c r="G44" s="134" t="s">
        <v>170</v>
      </c>
      <c r="H44" s="130" t="s">
        <v>147</v>
      </c>
      <c r="I44" s="124"/>
      <c r="J44" s="122"/>
      <c r="K44" s="135"/>
      <c r="L44" s="135"/>
      <c r="M44" s="135"/>
      <c r="N44" s="136"/>
      <c r="O44" s="135"/>
      <c r="P44" s="136"/>
      <c r="Q44" s="137"/>
      <c r="R44" s="122"/>
    </row>
    <row r="45" spans="1:18" ht="99" customHeight="1">
      <c r="A45" s="122"/>
      <c r="B45" s="65"/>
      <c r="C45" s="82"/>
      <c r="D45" s="82"/>
      <c r="E45" s="65" t="s">
        <v>171</v>
      </c>
      <c r="F45" s="65"/>
      <c r="G45" s="147" t="s">
        <v>203</v>
      </c>
      <c r="H45" s="130" t="s">
        <v>147</v>
      </c>
      <c r="I45" s="124"/>
      <c r="J45" s="122"/>
      <c r="K45" s="138">
        <f xml:space="preserve"> ROUND((127/100) * 1200, -1)</f>
        <v>1520</v>
      </c>
      <c r="L45" s="131">
        <f xml:space="preserve"> ROUND((127/100) * 1200, -1)</f>
        <v>1520</v>
      </c>
      <c r="M45" s="162" t="s">
        <v>204</v>
      </c>
      <c r="N45" s="146" t="s">
        <v>205</v>
      </c>
      <c r="O45" s="163" t="s">
        <v>206</v>
      </c>
      <c r="P45" s="150" t="s">
        <v>205</v>
      </c>
      <c r="Q45" s="128" t="s">
        <v>207</v>
      </c>
      <c r="R45" s="122"/>
    </row>
    <row r="46" spans="1:18" ht="99" customHeight="1">
      <c r="A46" s="122"/>
      <c r="B46" s="65"/>
      <c r="C46" s="81"/>
      <c r="D46" s="81"/>
      <c r="E46" s="65" t="s">
        <v>176</v>
      </c>
      <c r="F46" s="81"/>
      <c r="G46" s="148" t="s">
        <v>208</v>
      </c>
      <c r="H46" s="130" t="s">
        <v>147</v>
      </c>
      <c r="I46" s="124"/>
      <c r="J46" s="122"/>
      <c r="K46" s="138">
        <f xml:space="preserve"> ROUND((111/106) * 1200, -1)</f>
        <v>1260</v>
      </c>
      <c r="L46" s="131">
        <f xml:space="preserve"> ROUND((111/106) * 1200, -1)</f>
        <v>1260</v>
      </c>
      <c r="M46" s="162" t="s">
        <v>209</v>
      </c>
      <c r="N46" s="151" t="s">
        <v>210</v>
      </c>
      <c r="O46" s="163" t="s">
        <v>211</v>
      </c>
      <c r="P46" s="150" t="s">
        <v>210</v>
      </c>
      <c r="Q46" s="128" t="s">
        <v>212</v>
      </c>
      <c r="R46" s="122"/>
    </row>
    <row r="47" spans="1:18" ht="99" customHeight="1">
      <c r="A47" s="122"/>
      <c r="B47" s="66"/>
      <c r="C47" s="65"/>
      <c r="D47" s="65"/>
      <c r="E47" s="65" t="s">
        <v>181</v>
      </c>
      <c r="F47" s="65"/>
      <c r="G47" s="149" t="s">
        <v>213</v>
      </c>
      <c r="H47" s="130" t="s">
        <v>147</v>
      </c>
      <c r="I47" s="124"/>
      <c r="J47" s="122"/>
      <c r="K47" s="138">
        <f>ROUND((288/113) * 1200, -1)</f>
        <v>3060</v>
      </c>
      <c r="L47" s="131">
        <f>ROUND((288/113) * 1200, -1)</f>
        <v>3060</v>
      </c>
      <c r="M47" s="166" t="s">
        <v>214</v>
      </c>
      <c r="N47" s="151" t="s">
        <v>215</v>
      </c>
      <c r="O47" s="165" t="s">
        <v>216</v>
      </c>
      <c r="P47" s="150" t="s">
        <v>215</v>
      </c>
      <c r="Q47" s="128" t="s">
        <v>217</v>
      </c>
      <c r="R47" s="122"/>
    </row>
    <row r="48" spans="1:18" ht="99" customHeight="1">
      <c r="A48" s="122"/>
      <c r="B48" s="65"/>
      <c r="C48" s="82"/>
      <c r="D48" s="82"/>
      <c r="E48" s="65" t="s">
        <v>186</v>
      </c>
      <c r="F48" s="65"/>
      <c r="G48" s="132" t="s">
        <v>187</v>
      </c>
      <c r="H48" s="130" t="s">
        <v>147</v>
      </c>
      <c r="I48" s="124"/>
      <c r="J48" s="122"/>
      <c r="K48" s="138">
        <f xml:space="preserve"> ROUND((1520+1260+2420) / 3, -1)</f>
        <v>1730</v>
      </c>
      <c r="L48" s="131">
        <f xml:space="preserve"> ROUND((1520+1260+2420) / 3, -1)</f>
        <v>1730</v>
      </c>
      <c r="M48" s="126"/>
      <c r="N48" s="126"/>
      <c r="O48" s="127"/>
      <c r="P48" s="107"/>
      <c r="Q48" s="128" t="s">
        <v>218</v>
      </c>
      <c r="R48" s="122"/>
    </row>
    <row r="49" spans="1:18" ht="99" customHeight="1">
      <c r="A49" s="122"/>
      <c r="B49" s="80"/>
      <c r="C49" s="79"/>
      <c r="D49" s="79"/>
      <c r="E49" s="61" t="s">
        <v>168</v>
      </c>
      <c r="F49" s="139" t="s">
        <v>169</v>
      </c>
      <c r="G49" s="140" t="s">
        <v>170</v>
      </c>
      <c r="H49" s="141" t="s">
        <v>147</v>
      </c>
      <c r="I49" s="124"/>
      <c r="J49" s="122"/>
      <c r="K49" s="135"/>
      <c r="L49" s="135"/>
      <c r="M49" s="135"/>
      <c r="N49" s="136"/>
      <c r="O49" s="135"/>
      <c r="P49" s="136"/>
      <c r="Q49" s="137"/>
      <c r="R49" s="122"/>
    </row>
    <row r="50" spans="1:18" ht="99" customHeight="1">
      <c r="B50" s="56" t="s">
        <v>219</v>
      </c>
      <c r="C50" s="54" t="s">
        <v>220</v>
      </c>
      <c r="D50" s="12"/>
      <c r="E50" s="11" t="s">
        <v>221</v>
      </c>
      <c r="F50" s="28"/>
      <c r="G50" s="13" t="s">
        <v>221</v>
      </c>
      <c r="H50" s="31" t="s">
        <v>222</v>
      </c>
      <c r="I50" s="7"/>
      <c r="K50" s="10">
        <v>159</v>
      </c>
      <c r="L50" s="85">
        <v>159</v>
      </c>
      <c r="M50" s="47" t="s">
        <v>223</v>
      </c>
      <c r="N50" s="5"/>
      <c r="O50" s="86" t="s">
        <v>224</v>
      </c>
      <c r="P50" s="85"/>
      <c r="Q50" s="109" t="s">
        <v>225</v>
      </c>
    </row>
    <row r="51" spans="1:18" ht="99" customHeight="1">
      <c r="B51" s="11"/>
      <c r="C51" s="14"/>
      <c r="D51" s="15"/>
      <c r="E51" s="14" t="s">
        <v>226</v>
      </c>
      <c r="F51" s="42"/>
      <c r="G51" s="16" t="s">
        <v>226</v>
      </c>
      <c r="H51" s="31" t="s">
        <v>227</v>
      </c>
      <c r="I51" s="8"/>
      <c r="K51" s="10">
        <v>482</v>
      </c>
      <c r="L51" s="85">
        <v>482</v>
      </c>
      <c r="M51" s="47" t="s">
        <v>228</v>
      </c>
      <c r="N51" s="5"/>
      <c r="O51" s="86" t="s">
        <v>229</v>
      </c>
      <c r="P51" s="85"/>
      <c r="Q51" s="110" t="s">
        <v>230</v>
      </c>
    </row>
    <row r="52" spans="1:18" ht="99" customHeight="1">
      <c r="B52" s="46"/>
      <c r="C52" s="14"/>
      <c r="D52" s="15"/>
      <c r="E52" s="14" t="s">
        <v>231</v>
      </c>
      <c r="F52" s="57"/>
      <c r="G52" s="57" t="s">
        <v>232</v>
      </c>
      <c r="H52" s="31" t="s">
        <v>233</v>
      </c>
      <c r="I52" s="6"/>
      <c r="K52" s="10" t="str">
        <f xml:space="preserve"> ROUND((K51 / K50) * 100, 1) &amp; "%"</f>
        <v>303.1%</v>
      </c>
      <c r="L52" s="85" t="str">
        <f xml:space="preserve"> ROUND((L51 / L50) * 100, 1) &amp; "%"</f>
        <v>303.1%</v>
      </c>
      <c r="M52" s="47" t="s">
        <v>223</v>
      </c>
      <c r="N52" s="47" t="s">
        <v>228</v>
      </c>
      <c r="O52" s="86" t="s">
        <v>224</v>
      </c>
      <c r="P52" s="86" t="s">
        <v>229</v>
      </c>
      <c r="Q52" s="110" t="s">
        <v>234</v>
      </c>
    </row>
    <row r="53" spans="1:18" ht="99" customHeight="1">
      <c r="B53" s="14"/>
      <c r="C53" s="14"/>
      <c r="D53" s="15"/>
      <c r="E53" s="14" t="s">
        <v>87</v>
      </c>
      <c r="F53" s="14"/>
      <c r="G53" s="16" t="s">
        <v>235</v>
      </c>
      <c r="H53" s="31" t="s">
        <v>236</v>
      </c>
      <c r="I53" s="7"/>
      <c r="K53" s="10" t="s">
        <v>237</v>
      </c>
      <c r="L53" s="85" t="s">
        <v>237</v>
      </c>
      <c r="M53" s="5" t="s">
        <v>237</v>
      </c>
      <c r="N53" s="5" t="s">
        <v>237</v>
      </c>
      <c r="O53" s="85" t="s">
        <v>237</v>
      </c>
      <c r="P53" s="85" t="s">
        <v>237</v>
      </c>
      <c r="Q53" s="110" t="s">
        <v>238</v>
      </c>
    </row>
    <row r="54" spans="1:18" ht="99" customHeight="1">
      <c r="B54" s="19"/>
      <c r="C54" s="19"/>
      <c r="D54" s="58"/>
      <c r="E54" s="19" t="s">
        <v>239</v>
      </c>
      <c r="F54" s="60"/>
      <c r="G54" s="60" t="s">
        <v>240</v>
      </c>
      <c r="H54" s="31" t="s">
        <v>241</v>
      </c>
      <c r="I54" s="7"/>
      <c r="K54" s="10" t="str">
        <f xml:space="preserve"> ROUND(258 / 482 * 100, 1) &amp; "%"</f>
        <v>53.5%</v>
      </c>
      <c r="L54" s="85" t="str">
        <f xml:space="preserve"> ROUND(258 / 482 * 100, 1) &amp; "%"</f>
        <v>53.5%</v>
      </c>
      <c r="M54" s="47" t="s">
        <v>228</v>
      </c>
      <c r="N54" s="47" t="s">
        <v>242</v>
      </c>
      <c r="O54" s="86" t="s">
        <v>229</v>
      </c>
      <c r="P54" s="86" t="s">
        <v>243</v>
      </c>
      <c r="Q54" s="110" t="s">
        <v>244</v>
      </c>
    </row>
    <row r="55" spans="1:18" ht="99" customHeight="1">
      <c r="B55" s="19"/>
      <c r="C55" s="19"/>
      <c r="D55" s="62"/>
      <c r="E55" s="19" t="s">
        <v>17</v>
      </c>
      <c r="F55" s="19"/>
      <c r="G55" s="59" t="s">
        <v>17</v>
      </c>
      <c r="H55" s="64" t="s">
        <v>245</v>
      </c>
      <c r="I55" s="7"/>
      <c r="K55" s="10" t="s">
        <v>237</v>
      </c>
      <c r="L55" s="85" t="s">
        <v>237</v>
      </c>
      <c r="M55" s="5" t="s">
        <v>237</v>
      </c>
      <c r="N55" s="5" t="s">
        <v>237</v>
      </c>
      <c r="O55" s="85" t="s">
        <v>237</v>
      </c>
      <c r="P55" s="85" t="s">
        <v>237</v>
      </c>
      <c r="Q55" s="110" t="s">
        <v>246</v>
      </c>
    </row>
    <row r="56" spans="1:18" ht="99" customHeight="1">
      <c r="B56" s="65"/>
      <c r="C56" s="66"/>
      <c r="D56" s="49"/>
      <c r="E56" s="65" t="s">
        <v>247</v>
      </c>
      <c r="F56" s="67"/>
      <c r="G56" s="67" t="s">
        <v>248</v>
      </c>
      <c r="H56" s="55" t="s">
        <v>249</v>
      </c>
      <c r="I56" s="7"/>
      <c r="K56" s="10" t="str">
        <f xml:space="preserve"> ROUND((145 / 258) * 100, 1) &amp; "%"</f>
        <v>56.2%</v>
      </c>
      <c r="L56" s="85" t="str">
        <f xml:space="preserve"> ROUND((145 / 258) * 100, 1) &amp; "%"</f>
        <v>56.2%</v>
      </c>
      <c r="M56" s="47" t="s">
        <v>242</v>
      </c>
      <c r="N56" s="47" t="s">
        <v>250</v>
      </c>
      <c r="O56" s="86" t="s">
        <v>243</v>
      </c>
      <c r="P56" s="86" t="s">
        <v>251</v>
      </c>
      <c r="Q56" s="110" t="s">
        <v>252</v>
      </c>
    </row>
    <row r="57" spans="1:18" ht="99" customHeight="1">
      <c r="B57" s="65"/>
      <c r="C57" s="66" t="s">
        <v>253</v>
      </c>
      <c r="D57" s="65" t="s">
        <v>254</v>
      </c>
      <c r="E57" s="65" t="s">
        <v>255</v>
      </c>
      <c r="F57" s="70" t="s">
        <v>256</v>
      </c>
      <c r="G57" s="67" t="s">
        <v>257</v>
      </c>
      <c r="H57" s="69" t="s">
        <v>258</v>
      </c>
      <c r="I57" s="7"/>
      <c r="K57" s="10">
        <v>176</v>
      </c>
      <c r="L57" s="85">
        <v>176</v>
      </c>
      <c r="M57" s="47" t="s">
        <v>259</v>
      </c>
      <c r="N57" s="5"/>
      <c r="O57" s="86" t="s">
        <v>260</v>
      </c>
      <c r="P57" s="85"/>
      <c r="Q57" s="110" t="s">
        <v>261</v>
      </c>
    </row>
    <row r="58" spans="1:18" ht="99" customHeight="1">
      <c r="B58" s="65"/>
      <c r="C58" s="66"/>
      <c r="D58" s="65"/>
      <c r="E58" s="65" t="s">
        <v>262</v>
      </c>
      <c r="F58" s="70" t="s">
        <v>263</v>
      </c>
      <c r="G58" s="71" t="s">
        <v>264</v>
      </c>
      <c r="H58" s="69" t="s">
        <v>258</v>
      </c>
      <c r="I58" s="7"/>
      <c r="K58" s="10">
        <v>85</v>
      </c>
      <c r="L58" s="85">
        <v>85</v>
      </c>
      <c r="M58" s="47" t="s">
        <v>265</v>
      </c>
      <c r="N58" s="5"/>
      <c r="O58" s="86" t="s">
        <v>266</v>
      </c>
      <c r="P58" s="85"/>
      <c r="Q58" s="110" t="s">
        <v>267</v>
      </c>
    </row>
    <row r="59" spans="1:18" ht="99" customHeight="1">
      <c r="B59" s="65"/>
      <c r="C59" s="66"/>
      <c r="D59" s="65"/>
      <c r="E59" s="65" t="s">
        <v>268</v>
      </c>
      <c r="F59" s="67"/>
      <c r="G59" s="67" t="s">
        <v>269</v>
      </c>
      <c r="H59" s="31" t="s">
        <v>227</v>
      </c>
      <c r="I59" s="7"/>
      <c r="K59" s="10">
        <v>166</v>
      </c>
      <c r="L59" s="85">
        <v>166</v>
      </c>
      <c r="M59" s="47" t="s">
        <v>270</v>
      </c>
      <c r="N59" s="5"/>
      <c r="O59" s="86" t="s">
        <v>271</v>
      </c>
      <c r="P59" s="85"/>
      <c r="Q59" s="110" t="s">
        <v>272</v>
      </c>
    </row>
    <row r="60" spans="1:18" ht="99" customHeight="1">
      <c r="B60" s="65"/>
      <c r="C60" s="66"/>
      <c r="D60" s="65"/>
      <c r="E60" s="65" t="s">
        <v>273</v>
      </c>
      <c r="F60" s="67" t="s">
        <v>274</v>
      </c>
      <c r="G60" s="73" t="s">
        <v>275</v>
      </c>
      <c r="H60" s="69" t="s">
        <v>276</v>
      </c>
      <c r="I60" s="7"/>
      <c r="K60" s="10">
        <f xml:space="preserve"> ABS(ROUND(166 / 85 * 100, 0) -100)</f>
        <v>95</v>
      </c>
      <c r="L60" s="85">
        <f xml:space="preserve"> ABS(ROUND(166 / 85 * 100, 0) -100)</f>
        <v>95</v>
      </c>
      <c r="M60" s="47" t="s">
        <v>270</v>
      </c>
      <c r="N60" s="47" t="s">
        <v>265</v>
      </c>
      <c r="O60" s="86" t="s">
        <v>277</v>
      </c>
      <c r="P60" s="86" t="s">
        <v>278</v>
      </c>
      <c r="Q60" s="110" t="s">
        <v>279</v>
      </c>
    </row>
    <row r="61" spans="1:18" ht="99" customHeight="1">
      <c r="B61" s="65"/>
      <c r="C61" s="66"/>
      <c r="D61" s="65" t="s">
        <v>235</v>
      </c>
      <c r="E61" s="65" t="s">
        <v>280</v>
      </c>
      <c r="F61" s="67"/>
      <c r="G61" s="13" t="s">
        <v>89</v>
      </c>
      <c r="H61" s="40" t="s">
        <v>281</v>
      </c>
      <c r="I61" s="7"/>
      <c r="K61" s="10">
        <v>144</v>
      </c>
      <c r="L61" s="85">
        <v>144</v>
      </c>
      <c r="M61" s="47" t="s">
        <v>91</v>
      </c>
      <c r="N61" s="5"/>
      <c r="O61" s="86" t="s">
        <v>92</v>
      </c>
      <c r="P61" s="85" t="s">
        <v>237</v>
      </c>
      <c r="Q61" s="110" t="s">
        <v>282</v>
      </c>
    </row>
    <row r="62" spans="1:18" ht="99" customHeight="1">
      <c r="B62" s="65"/>
      <c r="C62" s="66"/>
      <c r="D62" s="65"/>
      <c r="E62" s="65" t="s">
        <v>283</v>
      </c>
      <c r="F62" s="67"/>
      <c r="G62" s="16" t="s">
        <v>95</v>
      </c>
      <c r="H62" s="35" t="s">
        <v>96</v>
      </c>
      <c r="I62" s="7"/>
      <c r="K62" s="10">
        <v>74</v>
      </c>
      <c r="L62" s="85">
        <v>74</v>
      </c>
      <c r="M62" s="47" t="s">
        <v>284</v>
      </c>
      <c r="N62" s="5"/>
      <c r="O62" s="86" t="s">
        <v>285</v>
      </c>
      <c r="P62" s="85" t="s">
        <v>237</v>
      </c>
      <c r="Q62" s="110" t="s">
        <v>286</v>
      </c>
    </row>
    <row r="63" spans="1:18" ht="99" customHeight="1">
      <c r="B63" s="65"/>
      <c r="C63" s="66"/>
      <c r="D63" s="65"/>
      <c r="E63" s="65" t="s">
        <v>101</v>
      </c>
      <c r="F63" s="67"/>
      <c r="G63" s="16" t="s">
        <v>287</v>
      </c>
      <c r="H63" s="36" t="s">
        <v>288</v>
      </c>
      <c r="I63" s="7"/>
      <c r="K63" s="10">
        <v>65</v>
      </c>
      <c r="L63" s="85">
        <v>65</v>
      </c>
      <c r="M63" s="47" t="s">
        <v>289</v>
      </c>
      <c r="N63" s="5"/>
      <c r="O63" s="86" t="s">
        <v>290</v>
      </c>
      <c r="P63" s="85" t="s">
        <v>237</v>
      </c>
      <c r="Q63" s="110" t="s">
        <v>291</v>
      </c>
    </row>
    <row r="64" spans="1:18" ht="99" customHeight="1">
      <c r="B64" s="65"/>
      <c r="C64" s="66"/>
      <c r="D64" s="65"/>
      <c r="E64" s="65" t="s">
        <v>292</v>
      </c>
      <c r="F64" s="67"/>
      <c r="G64" s="72" t="s">
        <v>293</v>
      </c>
      <c r="H64" s="35" t="s">
        <v>294</v>
      </c>
      <c r="I64" s="7"/>
      <c r="K64" s="10">
        <f xml:space="preserve"> ROUND((65 / 74 * 100) -100, 0)</f>
        <v>-12</v>
      </c>
      <c r="L64" s="90">
        <f xml:space="preserve"> ROUND(65 / 74 * 100, 0) - 100</f>
        <v>-12</v>
      </c>
      <c r="M64" s="47" t="s">
        <v>284</v>
      </c>
      <c r="N64" s="47" t="s">
        <v>289</v>
      </c>
      <c r="O64" s="86" t="s">
        <v>295</v>
      </c>
      <c r="P64" s="86" t="s">
        <v>290</v>
      </c>
      <c r="Q64" s="110" t="s">
        <v>296</v>
      </c>
    </row>
    <row r="65" spans="2:18" ht="99" customHeight="1">
      <c r="B65" s="65"/>
      <c r="C65" s="66"/>
      <c r="D65" s="65" t="s">
        <v>297</v>
      </c>
      <c r="E65" s="65" t="s">
        <v>298</v>
      </c>
      <c r="F65" s="67"/>
      <c r="G65" s="67" t="s">
        <v>299</v>
      </c>
      <c r="H65" s="69" t="s">
        <v>300</v>
      </c>
      <c r="I65" s="7"/>
      <c r="K65" s="98">
        <f>ROUND(144/176, 2)</f>
        <v>0.82</v>
      </c>
      <c r="L65" s="97">
        <f>ROUND(144/176, 2)</f>
        <v>0.82</v>
      </c>
      <c r="M65" s="47" t="s">
        <v>259</v>
      </c>
      <c r="N65" s="47" t="s">
        <v>91</v>
      </c>
      <c r="O65" s="86" t="s">
        <v>301</v>
      </c>
      <c r="P65" s="86" t="s">
        <v>92</v>
      </c>
      <c r="Q65" s="110" t="s">
        <v>302</v>
      </c>
    </row>
    <row r="66" spans="2:18" ht="99" customHeight="1">
      <c r="B66" s="65"/>
      <c r="C66" s="66"/>
      <c r="D66" s="65"/>
      <c r="E66" s="65" t="s">
        <v>303</v>
      </c>
      <c r="F66" s="67"/>
      <c r="G66" s="72" t="s">
        <v>304</v>
      </c>
      <c r="H66" s="69" t="s">
        <v>305</v>
      </c>
      <c r="I66" s="7"/>
      <c r="K66" s="98">
        <f>ROUND(74/85, 2)</f>
        <v>0.87</v>
      </c>
      <c r="L66" s="97">
        <f>ROUND(74/85, 2)</f>
        <v>0.87</v>
      </c>
      <c r="M66" s="47" t="s">
        <v>265</v>
      </c>
      <c r="N66" s="47" t="s">
        <v>284</v>
      </c>
      <c r="O66" s="86" t="s">
        <v>306</v>
      </c>
      <c r="P66" s="86" t="s">
        <v>295</v>
      </c>
      <c r="Q66" s="109" t="s">
        <v>307</v>
      </c>
    </row>
    <row r="67" spans="2:18" ht="99" customHeight="1">
      <c r="B67" s="65"/>
      <c r="C67" s="66"/>
      <c r="D67" s="65"/>
      <c r="E67" s="65" t="s">
        <v>308</v>
      </c>
      <c r="F67" s="67"/>
      <c r="G67" s="67" t="s">
        <v>309</v>
      </c>
      <c r="H67" s="31" t="s">
        <v>310</v>
      </c>
      <c r="I67" s="7"/>
      <c r="K67" s="98">
        <f>ROUND(65/166, 2)</f>
        <v>0.39</v>
      </c>
      <c r="L67" s="97">
        <f>ROUND(65/166, 2)</f>
        <v>0.39</v>
      </c>
      <c r="M67" s="47" t="s">
        <v>270</v>
      </c>
      <c r="N67" s="47" t="s">
        <v>311</v>
      </c>
      <c r="O67" s="86" t="s">
        <v>277</v>
      </c>
      <c r="P67" s="86" t="s">
        <v>312</v>
      </c>
      <c r="Q67" s="109" t="s">
        <v>313</v>
      </c>
    </row>
    <row r="68" spans="2:18" ht="99" customHeight="1">
      <c r="B68" s="61"/>
      <c r="C68" s="61"/>
      <c r="D68" s="61"/>
      <c r="E68" s="61" t="s">
        <v>314</v>
      </c>
      <c r="F68" s="63"/>
      <c r="G68" s="74" t="s">
        <v>315</v>
      </c>
      <c r="H68" s="68"/>
      <c r="I68" s="9"/>
      <c r="K68" s="10">
        <f>(ROUND(65/166*100, 1) - ROUND(74/85*100,1))</f>
        <v>-47.899999999999991</v>
      </c>
      <c r="L68" s="131">
        <f>(ROUND(65/166*100, 1) - ROUND(74/85*100,1))</f>
        <v>-47.899999999999991</v>
      </c>
      <c r="M68" s="47" t="s">
        <v>316</v>
      </c>
      <c r="N68" s="5"/>
      <c r="O68" s="86" t="s">
        <v>316</v>
      </c>
      <c r="P68" s="85"/>
      <c r="Q68" s="164" t="s">
        <v>317</v>
      </c>
    </row>
    <row r="69" spans="2:18" ht="99" customHeight="1">
      <c r="B69" s="11" t="s">
        <v>318</v>
      </c>
      <c r="C69" s="50" t="s">
        <v>319</v>
      </c>
      <c r="D69" s="51"/>
      <c r="E69" s="50" t="s">
        <v>320</v>
      </c>
      <c r="F69" s="75" t="s">
        <v>321</v>
      </c>
      <c r="G69" s="53" t="s">
        <v>322</v>
      </c>
      <c r="H69" s="52" t="s">
        <v>323</v>
      </c>
      <c r="I69" s="76"/>
      <c r="K69" s="89">
        <f xml:space="preserve"> ROUND(68 / 264, 1)</f>
        <v>0.3</v>
      </c>
      <c r="L69" s="90">
        <f xml:space="preserve"> ROUND(68 / 264, 1)</f>
        <v>0.3</v>
      </c>
      <c r="M69" s="47" t="s">
        <v>324</v>
      </c>
      <c r="N69" s="47" t="s">
        <v>325</v>
      </c>
      <c r="O69" s="106" t="s">
        <v>326</v>
      </c>
      <c r="P69" s="107" t="s">
        <v>327</v>
      </c>
      <c r="Q69" s="113" t="s">
        <v>328</v>
      </c>
      <c r="R69" s="1" t="s">
        <v>164</v>
      </c>
    </row>
    <row r="70" spans="2:18" ht="99" customHeight="1">
      <c r="B70" s="14"/>
      <c r="C70" s="50" t="s">
        <v>329</v>
      </c>
      <c r="D70" s="51"/>
      <c r="E70" s="50" t="s">
        <v>330</v>
      </c>
      <c r="F70" s="75"/>
      <c r="G70" s="53" t="s">
        <v>331</v>
      </c>
      <c r="H70" s="52" t="s">
        <v>332</v>
      </c>
      <c r="I70" s="76"/>
      <c r="K70" s="89">
        <f xml:space="preserve"> ROUND(1617 / 264, 1)</f>
        <v>6.1</v>
      </c>
      <c r="L70" s="90">
        <f xml:space="preserve"> ROUND(1618 / 264, 1)</f>
        <v>6.1</v>
      </c>
      <c r="M70" s="47" t="s">
        <v>333</v>
      </c>
      <c r="N70" s="47" t="s">
        <v>325</v>
      </c>
      <c r="O70" s="87" t="s">
        <v>334</v>
      </c>
      <c r="P70" s="86" t="s">
        <v>327</v>
      </c>
      <c r="Q70" s="119" t="s">
        <v>335</v>
      </c>
    </row>
    <row r="71" spans="2:18" ht="120" customHeight="1">
      <c r="B71" s="14"/>
      <c r="C71" s="50" t="s">
        <v>336</v>
      </c>
      <c r="D71" s="51"/>
      <c r="E71" s="50" t="s">
        <v>337</v>
      </c>
      <c r="F71" s="75"/>
      <c r="G71" s="53" t="s">
        <v>338</v>
      </c>
      <c r="H71" s="52" t="s">
        <v>339</v>
      </c>
      <c r="I71" s="76"/>
      <c r="K71" s="89" t="str">
        <f xml:space="preserve"> ROUND((68 + 260) / 264 * 100, 0) &amp; "%"</f>
        <v>124%</v>
      </c>
      <c r="L71" s="88" t="str">
        <f xml:space="preserve"> ROUND((68 + 262) / 264 * 100, 0) &amp; "%"</f>
        <v>125%</v>
      </c>
      <c r="M71" s="47" t="s">
        <v>340</v>
      </c>
      <c r="N71" s="47" t="s">
        <v>325</v>
      </c>
      <c r="O71" s="87" t="s">
        <v>341</v>
      </c>
      <c r="P71" s="86" t="s">
        <v>342</v>
      </c>
      <c r="Q71" s="110" t="s">
        <v>343</v>
      </c>
    </row>
    <row r="72" spans="2:18" ht="120" customHeight="1">
      <c r="B72" s="14"/>
      <c r="C72" s="50" t="s">
        <v>344</v>
      </c>
      <c r="D72" s="51"/>
      <c r="E72" s="50" t="s">
        <v>345</v>
      </c>
      <c r="F72" s="75"/>
      <c r="G72" s="53" t="s">
        <v>346</v>
      </c>
      <c r="H72" s="52" t="s">
        <v>347</v>
      </c>
      <c r="I72" s="76"/>
      <c r="K72" s="89" t="str">
        <f xml:space="preserve"> ROUND((1617 + 258) / 264 * 100, 0) &amp; "%"</f>
        <v>710%</v>
      </c>
      <c r="L72" s="88" t="str">
        <f xml:space="preserve"> ROUND((1618 + 258) / 264 * 100, 0) &amp; "%"</f>
        <v>711%</v>
      </c>
      <c r="M72" s="47" t="s">
        <v>348</v>
      </c>
      <c r="N72" s="47" t="s">
        <v>325</v>
      </c>
      <c r="O72" s="87" t="s">
        <v>349</v>
      </c>
      <c r="P72" s="86" t="s">
        <v>342</v>
      </c>
      <c r="Q72" s="110" t="s">
        <v>350</v>
      </c>
    </row>
    <row r="73" spans="2:18" ht="99" customHeight="1">
      <c r="B73" s="14"/>
      <c r="C73" s="50" t="s">
        <v>351</v>
      </c>
      <c r="D73" s="51"/>
      <c r="E73" s="50" t="s">
        <v>352</v>
      </c>
      <c r="F73" s="75"/>
      <c r="G73" s="53" t="s">
        <v>353</v>
      </c>
      <c r="H73" s="52" t="s">
        <v>354</v>
      </c>
      <c r="I73" s="76"/>
      <c r="K73" s="89" t="str">
        <f xml:space="preserve"> ROUND(1617 / 157*100, 0) &amp; "%"</f>
        <v>1030%</v>
      </c>
      <c r="L73" s="88" t="str">
        <f xml:space="preserve"> ROUND(1618 / 157*100, 0) &amp; "%"</f>
        <v>1031%</v>
      </c>
      <c r="M73" s="47" t="s">
        <v>333</v>
      </c>
      <c r="N73" s="47" t="s">
        <v>355</v>
      </c>
      <c r="O73" s="87" t="s">
        <v>356</v>
      </c>
      <c r="P73" s="86" t="s">
        <v>357</v>
      </c>
      <c r="Q73" s="110" t="s">
        <v>358</v>
      </c>
    </row>
    <row r="74" spans="2:18" ht="99" customHeight="1">
      <c r="B74" s="11" t="s">
        <v>359</v>
      </c>
      <c r="C74" s="11"/>
      <c r="D74" s="12" t="s">
        <v>360</v>
      </c>
      <c r="E74" s="11" t="s">
        <v>361</v>
      </c>
      <c r="F74" s="11"/>
      <c r="G74" s="13" t="s">
        <v>362</v>
      </c>
      <c r="H74" s="31" t="s">
        <v>363</v>
      </c>
      <c r="I74" s="6"/>
      <c r="K74" s="10">
        <v>152</v>
      </c>
      <c r="L74" s="85">
        <v>152</v>
      </c>
      <c r="M74" s="47" t="s">
        <v>364</v>
      </c>
      <c r="N74" s="5"/>
      <c r="O74" s="86" t="s">
        <v>365</v>
      </c>
      <c r="P74" s="85"/>
      <c r="Q74" s="107" t="s">
        <v>366</v>
      </c>
    </row>
    <row r="75" spans="2:18" ht="99" customHeight="1">
      <c r="B75" s="14"/>
      <c r="C75" s="14"/>
      <c r="D75" s="15"/>
      <c r="E75" s="14" t="s">
        <v>367</v>
      </c>
      <c r="F75" s="14"/>
      <c r="G75" s="16" t="s">
        <v>368</v>
      </c>
      <c r="H75" s="30" t="s">
        <v>369</v>
      </c>
      <c r="I75" s="7"/>
      <c r="K75" s="10">
        <v>31</v>
      </c>
      <c r="L75" s="85">
        <v>31</v>
      </c>
      <c r="M75" s="47" t="s">
        <v>370</v>
      </c>
      <c r="N75" s="5"/>
      <c r="O75" s="86" t="s">
        <v>371</v>
      </c>
      <c r="P75" s="85"/>
      <c r="Q75" s="110" t="s">
        <v>372</v>
      </c>
    </row>
    <row r="76" spans="2:18" ht="99" customHeight="1">
      <c r="B76" s="14"/>
      <c r="C76" s="14"/>
      <c r="D76" s="15"/>
      <c r="E76" s="14" t="s">
        <v>373</v>
      </c>
      <c r="F76" s="14"/>
      <c r="G76" s="16" t="s">
        <v>374</v>
      </c>
      <c r="H76" s="30" t="s">
        <v>375</v>
      </c>
      <c r="I76" s="7"/>
      <c r="K76" s="10">
        <v>2</v>
      </c>
      <c r="L76" s="85">
        <v>2</v>
      </c>
      <c r="M76" s="47" t="s">
        <v>376</v>
      </c>
      <c r="N76" s="5"/>
      <c r="O76" s="86" t="s">
        <v>377</v>
      </c>
      <c r="P76" s="85"/>
      <c r="Q76" s="110" t="s">
        <v>378</v>
      </c>
    </row>
    <row r="77" spans="2:18" ht="99" customHeight="1">
      <c r="B77" s="20"/>
      <c r="C77" s="20"/>
      <c r="D77" s="21"/>
      <c r="E77" s="20" t="s">
        <v>379</v>
      </c>
      <c r="F77" s="20"/>
      <c r="G77" s="22" t="s">
        <v>380</v>
      </c>
      <c r="H77" s="43" t="s">
        <v>381</v>
      </c>
      <c r="I77" s="7"/>
      <c r="K77" s="10">
        <v>1</v>
      </c>
      <c r="L77" s="85">
        <v>1</v>
      </c>
      <c r="M77" s="47" t="s">
        <v>382</v>
      </c>
      <c r="N77" s="5"/>
      <c r="O77" s="86" t="s">
        <v>383</v>
      </c>
      <c r="P77" s="85"/>
      <c r="Q77" s="110" t="s">
        <v>384</v>
      </c>
    </row>
    <row r="78" spans="2:18" ht="99" customHeight="1">
      <c r="B78" s="11" t="s">
        <v>385</v>
      </c>
      <c r="C78" s="11"/>
      <c r="D78" s="12" t="s">
        <v>386</v>
      </c>
      <c r="E78" s="11" t="s">
        <v>361</v>
      </c>
      <c r="F78" s="11"/>
      <c r="G78" s="13" t="s">
        <v>387</v>
      </c>
      <c r="H78" s="31" t="s">
        <v>388</v>
      </c>
      <c r="I78" s="7"/>
      <c r="K78" s="10">
        <v>48</v>
      </c>
      <c r="L78" s="85">
        <v>48</v>
      </c>
      <c r="M78" s="47" t="s">
        <v>389</v>
      </c>
      <c r="N78" s="5"/>
      <c r="O78" s="86" t="s">
        <v>390</v>
      </c>
      <c r="P78" s="85"/>
      <c r="Q78" s="110" t="s">
        <v>391</v>
      </c>
    </row>
    <row r="79" spans="2:18" ht="99" customHeight="1">
      <c r="B79" s="14"/>
      <c r="C79" s="14"/>
      <c r="D79" s="15"/>
      <c r="E79" s="14" t="s">
        <v>367</v>
      </c>
      <c r="F79" s="14"/>
      <c r="G79" s="16" t="s">
        <v>392</v>
      </c>
      <c r="H79" s="31" t="s">
        <v>393</v>
      </c>
      <c r="I79" s="7"/>
      <c r="K79" s="10">
        <v>33</v>
      </c>
      <c r="L79" s="85">
        <v>33</v>
      </c>
      <c r="M79" s="47" t="s">
        <v>394</v>
      </c>
      <c r="N79" s="5"/>
      <c r="O79" s="86" t="s">
        <v>395</v>
      </c>
      <c r="P79" s="85"/>
      <c r="Q79" s="110" t="s">
        <v>396</v>
      </c>
    </row>
    <row r="80" spans="2:18" ht="99" customHeight="1">
      <c r="B80" s="14"/>
      <c r="C80" s="14"/>
      <c r="D80" s="15"/>
      <c r="E80" s="14" t="s">
        <v>373</v>
      </c>
      <c r="F80" s="14"/>
      <c r="G80" s="16" t="s">
        <v>397</v>
      </c>
      <c r="H80" s="31" t="s">
        <v>398</v>
      </c>
      <c r="I80" s="7"/>
      <c r="K80" s="10">
        <v>27</v>
      </c>
      <c r="L80" s="85">
        <v>27</v>
      </c>
      <c r="M80" s="47" t="s">
        <v>399</v>
      </c>
      <c r="N80" s="5"/>
      <c r="O80" s="86" t="s">
        <v>400</v>
      </c>
      <c r="P80" s="85"/>
      <c r="Q80" s="110" t="s">
        <v>401</v>
      </c>
    </row>
    <row r="81" spans="2:17" ht="99" customHeight="1">
      <c r="B81" s="19"/>
      <c r="C81" s="19"/>
      <c r="D81" s="21"/>
      <c r="E81" s="20" t="s">
        <v>379</v>
      </c>
      <c r="F81" s="20"/>
      <c r="G81" s="22" t="s">
        <v>402</v>
      </c>
      <c r="H81" s="44" t="s">
        <v>403</v>
      </c>
      <c r="I81" s="7"/>
      <c r="K81" s="10">
        <v>37</v>
      </c>
      <c r="L81" s="85">
        <v>37</v>
      </c>
      <c r="M81" s="47" t="s">
        <v>404</v>
      </c>
      <c r="N81" s="5"/>
      <c r="O81" s="86" t="s">
        <v>405</v>
      </c>
      <c r="P81" s="85"/>
      <c r="Q81" s="110" t="s">
        <v>406</v>
      </c>
    </row>
    <row r="82" spans="2:17" ht="99" customHeight="1">
      <c r="B82" s="27"/>
      <c r="C82" s="27"/>
      <c r="D82" s="12" t="s">
        <v>407</v>
      </c>
      <c r="E82" s="11" t="s">
        <v>361</v>
      </c>
      <c r="F82" s="11"/>
      <c r="G82" s="13" t="s">
        <v>408</v>
      </c>
      <c r="H82" s="45" t="s">
        <v>409</v>
      </c>
      <c r="I82" s="7"/>
      <c r="K82" s="10">
        <v>200</v>
      </c>
      <c r="L82" s="85">
        <v>200</v>
      </c>
      <c r="M82" s="47" t="s">
        <v>410</v>
      </c>
      <c r="N82" s="5"/>
      <c r="O82" s="86" t="s">
        <v>411</v>
      </c>
      <c r="P82" s="85"/>
      <c r="Q82" s="110" t="s">
        <v>412</v>
      </c>
    </row>
    <row r="83" spans="2:17" ht="99" customHeight="1">
      <c r="B83" s="14"/>
      <c r="C83" s="14"/>
      <c r="D83" s="15"/>
      <c r="E83" s="14" t="s">
        <v>367</v>
      </c>
      <c r="F83" s="14"/>
      <c r="G83" s="16" t="s">
        <v>413</v>
      </c>
      <c r="H83" s="31" t="s">
        <v>414</v>
      </c>
      <c r="I83" s="7"/>
      <c r="K83" s="10">
        <v>302</v>
      </c>
      <c r="L83" s="85">
        <v>302</v>
      </c>
      <c r="M83" s="47" t="s">
        <v>415</v>
      </c>
      <c r="N83" s="5"/>
      <c r="O83" s="86" t="s">
        <v>416</v>
      </c>
      <c r="P83" s="85"/>
      <c r="Q83" s="110" t="s">
        <v>417</v>
      </c>
    </row>
    <row r="84" spans="2:17" ht="99" customHeight="1">
      <c r="B84" s="14"/>
      <c r="C84" s="14"/>
      <c r="D84" s="15"/>
      <c r="E84" s="14" t="s">
        <v>373</v>
      </c>
      <c r="F84" s="14"/>
      <c r="G84" s="16" t="s">
        <v>418</v>
      </c>
      <c r="H84" s="31" t="s">
        <v>419</v>
      </c>
      <c r="I84" s="7"/>
      <c r="K84" s="10">
        <v>479</v>
      </c>
      <c r="L84" s="85">
        <v>479</v>
      </c>
      <c r="M84" s="47" t="s">
        <v>420</v>
      </c>
      <c r="O84" s="86" t="s">
        <v>421</v>
      </c>
      <c r="P84" s="85"/>
      <c r="Q84" s="110" t="s">
        <v>422</v>
      </c>
    </row>
    <row r="85" spans="2:17" ht="99" customHeight="1">
      <c r="B85" s="19"/>
      <c r="C85" s="19"/>
      <c r="D85" s="58"/>
      <c r="E85" s="19" t="s">
        <v>379</v>
      </c>
      <c r="F85" s="19"/>
      <c r="G85" s="59" t="s">
        <v>423</v>
      </c>
      <c r="H85" s="44" t="s">
        <v>424</v>
      </c>
      <c r="I85" s="101"/>
      <c r="K85" s="153">
        <v>593</v>
      </c>
      <c r="L85" s="154">
        <v>593</v>
      </c>
      <c r="M85" s="155" t="s">
        <v>425</v>
      </c>
      <c r="N85" s="156"/>
      <c r="O85" s="157" t="s">
        <v>426</v>
      </c>
      <c r="P85" s="154"/>
      <c r="Q85" s="158" t="s">
        <v>427</v>
      </c>
    </row>
    <row r="86" spans="2:17" ht="99" customHeight="1">
      <c r="B86" s="159" t="s">
        <v>428</v>
      </c>
      <c r="C86" s="159"/>
      <c r="D86" s="159" t="s">
        <v>429</v>
      </c>
      <c r="E86" s="159"/>
      <c r="F86" s="159"/>
      <c r="G86" s="159" t="s">
        <v>430</v>
      </c>
      <c r="H86" s="160" t="s">
        <v>431</v>
      </c>
      <c r="I86" s="159"/>
      <c r="J86" s="159"/>
      <c r="K86" s="153" t="s">
        <v>432</v>
      </c>
      <c r="L86" s="154" t="s">
        <v>432</v>
      </c>
      <c r="M86" s="47" t="s">
        <v>433</v>
      </c>
      <c r="N86" s="5"/>
      <c r="O86" s="86" t="s">
        <v>434</v>
      </c>
      <c r="P86" s="85"/>
      <c r="Q86" s="174" t="s">
        <v>435</v>
      </c>
    </row>
    <row r="87" spans="2:17" ht="99" customHeight="1">
      <c r="B87" s="159"/>
      <c r="C87" s="159"/>
      <c r="D87" s="159" t="s">
        <v>429</v>
      </c>
      <c r="E87" s="159"/>
      <c r="F87" s="159"/>
      <c r="G87" s="159" t="s">
        <v>436</v>
      </c>
      <c r="H87" s="159"/>
      <c r="I87" s="159"/>
      <c r="J87" s="159"/>
      <c r="K87" s="153">
        <v>2.2999999999999998</v>
      </c>
      <c r="L87" s="154">
        <v>2.2999999999999998</v>
      </c>
      <c r="M87" s="47" t="s">
        <v>437</v>
      </c>
      <c r="N87" s="5"/>
      <c r="O87" s="86" t="s">
        <v>438</v>
      </c>
      <c r="P87" s="85"/>
      <c r="Q87" s="174" t="s">
        <v>435</v>
      </c>
    </row>
    <row r="88" spans="2:17" ht="99" customHeight="1">
      <c r="B88" s="159"/>
      <c r="C88" s="159"/>
      <c r="D88" s="159" t="s">
        <v>429</v>
      </c>
      <c r="E88" s="159"/>
      <c r="F88" s="159"/>
      <c r="G88" s="159" t="s">
        <v>439</v>
      </c>
      <c r="H88" s="159"/>
      <c r="I88" s="159"/>
      <c r="J88" s="159"/>
      <c r="K88" s="10">
        <v>0</v>
      </c>
      <c r="L88" s="85">
        <v>0</v>
      </c>
      <c r="M88" s="47" t="s">
        <v>440</v>
      </c>
      <c r="N88" s="5"/>
      <c r="O88" s="86" t="s">
        <v>441</v>
      </c>
      <c r="P88" s="85"/>
      <c r="Q88" s="174" t="s">
        <v>435</v>
      </c>
    </row>
  </sheetData>
  <mergeCells count="8">
    <mergeCell ref="K2:P2"/>
    <mergeCell ref="I2:I3"/>
    <mergeCell ref="B2:B3"/>
    <mergeCell ref="C2:C3"/>
    <mergeCell ref="D2:E2"/>
    <mergeCell ref="F2:F3"/>
    <mergeCell ref="G2:G3"/>
    <mergeCell ref="H2:H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e98abc-ba30-451a-8ce6-4c4c6166e473">
      <Terms xmlns="http://schemas.microsoft.com/office/infopath/2007/PartnerControls"/>
    </lcf76f155ced4ddcb4097134ff3c332f>
    <TaxCatchAll xmlns="b62bbea0-3efe-4948-8e66-8df7f1e51339" xsi:nil="true"/>
    <_xc815__xb82c__xc21c__xc11c_ xmlns="0de98abc-ba30-451a-8ce6-4c4c6166e4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0533E8-2989-4072-86F8-22C3DA1F1679}"/>
</file>

<file path=customXml/itemProps2.xml><?xml version="1.0" encoding="utf-8"?>
<ds:datastoreItem xmlns:ds="http://schemas.openxmlformats.org/officeDocument/2006/customXml" ds:itemID="{81187292-1CCF-4396-BEBC-0F21A34589CC}"/>
</file>

<file path=customXml/itemProps3.xml><?xml version="1.0" encoding="utf-8"?>
<ds:datastoreItem xmlns:ds="http://schemas.openxmlformats.org/officeDocument/2006/customXml" ds:itemID="{F738A11F-BD8F-4DD7-9E48-084483261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장형석</dc:creator>
  <cp:keywords/>
  <dc:description/>
  <cp:lastModifiedBy>Aron Kim(김영민)</cp:lastModifiedBy>
  <cp:revision/>
  <dcterms:created xsi:type="dcterms:W3CDTF">2023-11-27T00:25:55Z</dcterms:created>
  <dcterms:modified xsi:type="dcterms:W3CDTF">2024-03-18T00:08:30Z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0x0101007BDFA59B5C858E4683FD8275FF124205</vt:lpwstr>
  </property>
  <property fmtid="{D5CDD505-2E9C-101B-9397-08002B2CF9AE}" pid="3" name="MediaServiceImageTags">
    <vt:lpwstr/>
  </property>
</Properties>
</file>