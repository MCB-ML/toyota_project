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mkro365.sharepoint.com/sites/T-WICEProject/Shared Documents/General/KPI Service Data 20240122/"/>
    </mc:Choice>
  </mc:AlternateContent>
  <xr:revisionPtr revIDLastSave="212" documentId="8_{4DEFF4E7-C529-4946-8B45-6DFDE7626F37}" xr6:coauthVersionLast="47" xr6:coauthVersionMax="47" xr10:uidLastSave="{0689E6B0-3E48-4B4E-85F2-B9C0C531D311}"/>
  <bookViews>
    <workbookView xWindow="-120" yWindow="-120" windowWidth="38640" windowHeight="21120" xr2:uid="{95A19DAD-B2E7-4FBC-BCAA-43EE16BEFAF5}"/>
  </bookViews>
  <sheets>
    <sheet name="Sheet1" sheetId="3" r:id="rId1"/>
    <sheet name="항목" sheetId="1" r:id="rId2"/>
    <sheet name="쿼리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" l="1"/>
  <c r="L80" i="3"/>
  <c r="K80" i="3"/>
  <c r="L84" i="3"/>
  <c r="L86" i="3"/>
  <c r="L89" i="3"/>
  <c r="L88" i="3"/>
  <c r="L87" i="3"/>
  <c r="L83" i="3"/>
  <c r="L81" i="3"/>
  <c r="L79" i="3"/>
  <c r="L82" i="3"/>
  <c r="K81" i="3"/>
  <c r="K79" i="3"/>
  <c r="K84" i="3"/>
  <c r="K82" i="3"/>
  <c r="K83" i="3"/>
  <c r="K86" i="3"/>
  <c r="K87" i="3"/>
  <c r="K88" i="3"/>
  <c r="K89" i="3"/>
  <c r="L73" i="3"/>
  <c r="K73" i="3"/>
  <c r="L71" i="3"/>
  <c r="K71" i="3"/>
  <c r="L69" i="3"/>
  <c r="K69" i="3"/>
  <c r="L67" i="3"/>
  <c r="K67" i="3"/>
  <c r="L63" i="3"/>
  <c r="K63" i="3"/>
  <c r="L61" i="3"/>
  <c r="K61" i="3"/>
  <c r="L59" i="3"/>
  <c r="K59" i="3"/>
  <c r="L57" i="3"/>
  <c r="K57" i="3"/>
  <c r="L55" i="3"/>
  <c r="K55" i="3"/>
  <c r="K53" i="3"/>
  <c r="L53" i="3"/>
  <c r="L6" i="3"/>
  <c r="K6" i="3"/>
  <c r="K4" i="3"/>
  <c r="K18" i="3"/>
  <c r="L48" i="3"/>
  <c r="L46" i="3"/>
  <c r="L44" i="3"/>
  <c r="L5" i="3"/>
  <c r="K48" i="3"/>
  <c r="K46" i="3"/>
  <c r="K44" i="3"/>
  <c r="K5" i="3"/>
  <c r="L47" i="3"/>
  <c r="L45" i="3"/>
  <c r="L43" i="3"/>
  <c r="K47" i="3"/>
  <c r="K45" i="3"/>
  <c r="K43" i="3"/>
  <c r="L42" i="3"/>
  <c r="L40" i="3"/>
  <c r="L38" i="3"/>
  <c r="L41" i="3"/>
  <c r="L39" i="3"/>
  <c r="L37" i="3"/>
  <c r="K38" i="3"/>
  <c r="K40" i="3"/>
  <c r="K42" i="3"/>
  <c r="K41" i="3"/>
  <c r="K39" i="3"/>
  <c r="K37" i="3"/>
  <c r="L22" i="3"/>
  <c r="K22" i="3"/>
  <c r="L20" i="3"/>
  <c r="K20" i="3"/>
  <c r="L16" i="3"/>
  <c r="K16" i="3"/>
  <c r="L15" i="3"/>
  <c r="K15" i="3"/>
  <c r="L14" i="3"/>
  <c r="K14" i="3"/>
  <c r="L13" i="3"/>
  <c r="K13" i="3"/>
  <c r="L7" i="3"/>
  <c r="K7" i="3"/>
  <c r="L19" i="3"/>
  <c r="L18" i="3"/>
  <c r="L17" i="3"/>
  <c r="K19" i="3"/>
  <c r="K17" i="3"/>
  <c r="L12" i="3"/>
  <c r="K12" i="3"/>
  <c r="L11" i="3"/>
  <c r="K11" i="3"/>
  <c r="L10" i="3"/>
  <c r="K10" i="3"/>
  <c r="L36" i="3"/>
  <c r="K36" i="3"/>
  <c r="L29" i="3"/>
  <c r="K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SE-HSJANG</author>
  </authors>
  <commentList>
    <comment ref="M4" authorId="0" shapeId="0" xr:uid="{02CC6629-314E-4457-BE77-C2EC47724894}">
      <text>
        <r>
          <rPr>
            <b/>
            <sz val="9"/>
            <color indexed="81"/>
            <rFont val="Tahoma"/>
            <family val="2"/>
          </rPr>
          <t>WITH screen_input AS (
    SELECT'20230131' AS std_ymd
        , 'DT00000' AS std_dealer
    FROM dual 
), with_param AS(
    SELECT std_ymd
        , to_char(add_months(to_date(std_ymd, 'YYYYMMDD'),-12), 'YYYYMMDD') AS ly_std_ymd
        , substr( to_char(add_months(to_date(std_ymd, 'YYYYMMDD'),-12), 'YYYYMMDD') , 1, 6) AS ly_std_ym
        , std_dealer
    FROM screen_input
)
SELECT holding_id
    , sum(decode(std_type, 'TY', actual_cps, 0)) AS actual_cps
    , sum(decode(std_type, 'TY', actual_bps, 0)) AS actual_bps
FROM (
        SELECT
            'TY' AS std_type
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, b.holding_id
            , a.std_dt
            , sum(CASE WHEN type3_cd = '1130' THEN sales_amt ELSE 0 END) AS actual_cps
            , sum(CASE WHEN type3_cd = '2210' THEN sales_amt ELSE 0 END) AS actual_bps
        FROM svc_daily_sales_report a
            , co_group b
            , with_param p
        WHERE 1=1
        AND a.shop_cd = b.group_id
        AND b.holding_id = p.std_dealer
        AND a.type3_cd IN ('1130', '2210')
        AND a.std_dt = p.std_ymd
        GROUP BY b.holding_id
            , a.std_dt
    )
WHERE 1=1
GROUP BY holding_id</t>
        </r>
      </text>
    </comment>
    <comment ref="N4" authorId="0" shapeId="0" xr:uid="{0F5A0A30-F697-45E0-A5D8-B885740066BC}">
      <text>
        <r>
          <rPr>
            <b/>
            <sz val="9"/>
            <color indexed="81"/>
            <rFont val="Tahoma"/>
            <family val="2"/>
          </rPr>
          <t>WITH screen_input AS (
    SELECT'20230131' AS std_ymd
        , 'DT00000' AS std_dealer
    FROM dual 
), with_param AS(
    SELECT std_ymd
        , to_char(add_months(to_date(std_ymd, 'YYYYMMDD'),-12), 'YYYYMMDD') AS ly_std_ymd
        , substr( to_char(add_months(to_date(std_ymd, 'YYYYMMDD'),-12), 'YYYYMMDD') , 1, 6) AS ly_std_ym
        , std_dealer
    FROM screen_input
)
SELECT
    b.holding_id
    , a.target_dt AS std_ym
    , sum(CASE WHEN type3_cd = '1130' THEN vehic_cnt ELSE 0 END) AS target_cpus
    , sum(CASE WHEN type3_cd = '1130' THEN total_amt ELSE 0 END) AS target_cps
    , sum(CASE WHEN type3_cd = '1130' THEN trunc(total_amt / vehic_cnt / 1000) ELSE 0 END) AS target_cpup
    , sum(CASE WHEN type3_cd = '2210' THEN vehic_cnt ELSE 0 END) AS target_bpus
    , sum(CASE WHEN type3_cd = '2210' THEN total_amt ELSE 0 END) AS target_bps
    , sum(CASE WHEN type3_cd = '2210' THEN trunc(total_amt / vehic_cnt / 1000) ELSE 0 END) AS target_bpup
FROM
    svc_monthly_sales_target a
    , co_group b
    , with_param p
WHERE 1=1
AND a.dealer_id = b.group_id
AND b.holding_id = p.std_dealer
AND a.type3_cd IN ('1130', '2210')
AND a.target_dt = substr(p.std_ymd , 1, 6)
GROUP BY b.holding_id
    , a.target_dt</t>
        </r>
      </text>
    </comment>
    <comment ref="O4" authorId="0" shapeId="0" xr:uid="{1CEBDF7D-9EDC-4A97-BB81-1742014484E4}">
      <text>
        <r>
          <rPr>
            <b/>
            <sz val="9"/>
            <color indexed="81"/>
            <rFont val="Tahoma"/>
            <family val="2"/>
          </rPr>
          <t>select a.dealer_id
    , sum(b.sales_amt)
from dms_svc_ro a
    left outer join dms_svc_ro_sales b
    on 1=1
    and a.group_id = b.group_id
    and a.propo_dt = b.propo_dt
    and a.propo_seq = b.propo_seq
where 1=1
and (ro_type_cd = 'F'
     or ro_type_cd = 'Y'
     or (a.repair_type_cd = '1' and ro_type_cd = 'I')
     or (a.repair_type_cd = '1' and ro_type_cd = 'G'))
and a.dealer_id = 'DT00000'
and b.sales_dt between to_date('20230101', 'yyyymmdd') and to_date('20230131', 'yyyymmdd')
and a.stat_cd != '99'
group BY a.dealer_id</t>
        </r>
      </text>
    </comment>
    <comment ref="P4" authorId="0" shapeId="0" xr:uid="{A08C3B2D-D817-4873-9587-5262A0C3124E}">
      <text>
        <r>
          <rPr>
            <b/>
            <sz val="9"/>
            <color indexed="81"/>
            <rFont val="Tahoma"/>
            <family val="2"/>
          </rPr>
          <t>SELECT dealer_id
    , svc_kpi_code_amt
FROM dms_svc_kpi_resource a
WHERE 1=1
and a.dealer_id= 'DT00000'
and a.yyyymm= '202301'
and svc_kpi_code_type = 'DMS_BI_SVC001'
and svc_kpi_code = 'SVC_CPS'</t>
        </r>
      </text>
    </comment>
    <comment ref="M5" authorId="0" shapeId="0" xr:uid="{2A932720-D5AC-454E-85E4-79D3D7FFACEE}">
      <text>
        <r>
          <rPr>
            <b/>
            <sz val="9"/>
            <color indexed="81"/>
            <rFont val="Tahoma"/>
            <family val="2"/>
          </rPr>
          <t>WITH screen_input AS (
    SELECT'20230131' AS std_ymd
        , 'DT00000' AS std_dealer
    FROM dual 
), with_param AS(
    SELECT std_ymd
        , to_char(add_months(to_date(std_ymd, 'YYYYMMDD'),-12), 'YYYYMMDD') AS ly_std_ymd
        , substr( to_char(add_months(to_date(std_ymd, 'YYYYMMDD'),-12), 'YYYYMMDD') , 1, 6) AS ly_std_ym
        , std_dealer
    FROM screen_input
)
SELECT holding_id
    , sum(decode(std_type, 'TY', actual_cps, 0)) AS actual_cps
    , sum(decode(std_type, 'TY', actual_bps, 0)) AS actual_bps
FROM (
        SELECT
            'TY' AS std_type
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, b.holding_id
            , a.std_dt
            , sum(CASE WHEN type3_cd = '1130' THEN sales_amt ELSE 0 END) AS actual_cps
            , sum(CASE WHEN type3_cd = '2210' THEN sales_amt ELSE 0 END) AS actual_bps
        FROM svc_daily_sales_report a
            , co_group b
            , with_param p
        WHERE 1=1
        AND a.shop_cd = b.group_id
        AND b.holding_id = p.std_dealer
        AND a.type3_cd IN ('1130', '2210')
        AND a.std_dt = p.std_ymd
        GROUP BY b.holding_id
            , a.std_dt
    )
WHERE 1=1
GROUP BY holding_id</t>
        </r>
      </text>
    </comment>
    <comment ref="N5" authorId="0" shapeId="0" xr:uid="{703628E4-3653-493E-AFB8-DA7A6EAE25A6}">
      <text>
        <r>
          <rPr>
            <b/>
            <sz val="9"/>
            <color indexed="81"/>
            <rFont val="Tahoma"/>
            <family val="2"/>
          </rPr>
          <t>WITH screen_input AS (
    SELECT'20220131' AS std_ymd
        , 'DT00000' AS std_dealer
    FROM dual 
), with_param AS(
    SELECT std_ymd
        , to_char(add_months(to_date(std_ymd, 'YYYYMMDD'),-12), 'YYYYMMDD') AS ly_std_ymd
        , substr( to_char(add_months(to_date(std_ymd, 'YYYYMMDD'),-12), 'YYYYMMDD') , 1, 6) AS ly_std_ym
        , std_dealer
    FROM screen_input
)
SELECT holding_id
    , sum(decode(std_type, 'TY', actual_cps, 0)) AS actual_cps
    , sum(decode(std_type, 'TY', actual_bps, 0)) AS actual_bps
FROM (
        SELECT
            'TY' AS std_type
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, b.holding_id
            , a.std_dt
            , sum(CASE WHEN type3_cd = '1130' THEN sales_amt ELSE 0 END) AS actual_cps
            , sum(CASE WHEN type3_cd = '2210' THEN sales_amt ELSE 0 END) AS actual_bps
        FROM svc_daily_sales_report a
            , co_group b
            , with_param p
        WHERE 1=1
        AND a.shop_cd = b.group_id
        AND b.holding_id = p.std_dealer
        AND a.type3_cd IN ('1130', '2210')
        AND a.std_dt = p.std_ymd
        GROUP BY b.holding_id
            , a.std_dt
    )
WHERE 1=1
GROUP BY holding_id</t>
        </r>
      </text>
    </comment>
    <comment ref="O5" authorId="0" shapeId="0" xr:uid="{13B424D3-5F51-485D-8036-D6FAF11AAE11}">
      <text>
        <r>
          <rPr>
            <b/>
            <sz val="9"/>
            <color indexed="81"/>
            <rFont val="Tahoma"/>
            <family val="2"/>
          </rPr>
          <t>select a.dealer_id
    , sum(b.sales_amt)
from dms_svc_ro a
    left outer join dms_svc_ro_sales b
    on 1=1
    and a.group_id = b.group_id
    and a.propo_dt = b.propo_dt
    and a.propo_seq = b.propo_seq
where 1=1
and (ro_type_cd = 'F'
     or ro_type_cd = 'Y'
     or (a.repair_type_cd = '1' and ro_type_cd = 'I')
     or (a.repair_type_cd = '1' and ro_type_cd = 'G'))
and a.dealer_id = 'DT00000'
and b.sales_dt between to_date('20230101', 'yyyymmdd') and to_date('20230131', 'yyyymmdd')
and a.stat_cd != '99'
group BY a.dealer_id</t>
        </r>
      </text>
    </comment>
    <comment ref="P5" authorId="0" shapeId="0" xr:uid="{4907F01C-3868-4538-9523-2D0CD648FB7E}">
      <text>
        <r>
          <rPr>
            <b/>
            <sz val="9"/>
            <color indexed="81"/>
            <rFont val="Tahoma"/>
            <family val="2"/>
          </rPr>
          <t>select a.dealer_id
    , sum(b.sales_amt)
from dms_svc_ro a
    left outer join dms_svc_ro_sales b
    on 1=1
    and a.group_id = b.group_id
    and a.propo_dt = b.propo_dt
    and a.propo_seq = b.propo_seq
where 1=1
and (ro_type_cd = 'F'
     or ro_type_cd = 'Y'
     or (a.repair_type_cd = '1' and ro_type_cd = 'I')
     or (a.repair_type_cd = '1' and ro_type_cd = 'G'))
and a.dealer_id = 'DT00000'
and b.sales_dt between to_date('20220101', 'yyyymmdd') and to_date('20220131', 'yyyymmdd')
and a.stat_cd != '99'
group BY a.dealer_id</t>
        </r>
      </text>
    </comment>
    <comment ref="M6" authorId="0" shapeId="0" xr:uid="{CCD4401F-AFD0-4B2F-8761-DF821FDD9D7A}">
      <text>
        <r>
          <rPr>
            <b/>
            <sz val="9"/>
            <color indexed="81"/>
            <rFont val="Tahoma"/>
            <family val="2"/>
          </rPr>
          <t>WITH screen_input AS (
    SELECT'20230131' AS std_ymd
        , 'DT00000' AS std_dealer
    FROM dual 
), with_param AS(
    SELECT std_ymd
        , std_dealer
    FROM screen_input
)
    SELECT
        holding_id
        , sum(decode(std_type, 'TY', actual_cpus, 0)) AS actual_cpus
        , sum(decode(std_type, 'TY', actual_bpus, 0)) AS actual_bpus
    FROM
        (
            SELECT
                'TY' AS std_type
    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    , b.holding_id
                , a.shop_cd
                , a.std_dt
                , nvl(a.fp, 0) + nvl(a.po, 0) + nvl(a.gr, 0) AS actual_cpus
                , nvl(a.bp, 0) AS actual_bpus
            FROM
                svc_daily_unit_report a
                , co_group b
                , with_param p
            WHERE
                a.shop_cd = b.group_id
                AND b.holding_id = p.std_dealer
                AND std_dt = p.std_ymd
        )
GROUP BY holding_id</t>
        </r>
      </text>
    </comment>
    <comment ref="N6" authorId="0" shapeId="0" xr:uid="{FD3BC93A-72B9-45B4-B729-8B0F28D81E87}">
      <text>
        <r>
          <rPr>
            <b/>
            <sz val="9"/>
            <color indexed="81"/>
            <rFont val="Tahoma"/>
            <family val="2"/>
          </rPr>
          <t xml:space="preserve">WITH screen_input AS (
    SELECT'20230131' AS std_ymd
        , 'DT00000' AS std_dealer
    FROM dual 
), with_param AS(
    SELECT std_ymd
        , std_dealer
    FROM screen_input
), 
with_working_day AS (
    SELECT nvl( sum(decode(work_dealer, 0, CASE WHEN week_day = 7 THEN 0.5 ELSE 1 END, 0 )) , 0)AS tot_work_days
        , nvl( sum( CASE
                   WHEN base_dt BETWEEN to_char( add_months( last_day(p.std_ymd) + 1, -1), 'YYYY-MM-DD')
                                    AND to_char( to_date(p.std_ymd, 'YYYY-MM-DD'), 'YYYY-MM-DD') THEN
                       decode(work_dealer, 0, CASE WHEN week_day = 7 THEN 0.5 ELSE 1 END, 0 ) 
               END
           ) , 0) AS work_days
        -- </t>
        </r>
        <r>
          <rPr>
            <b/>
            <sz val="9"/>
            <color indexed="81"/>
            <rFont val="돋움"/>
            <family val="3"/>
            <charset val="129"/>
          </rPr>
          <t>오늘까지의</t>
        </r>
        <r>
          <rPr>
            <b/>
            <sz val="9"/>
            <color indexed="81"/>
            <rFont val="Tahoma"/>
            <family val="2"/>
          </rPr>
          <t xml:space="preserve"> WORKING_DAY
    FROM co_calendar a
        , with_param p
    WHERE base_dt BETWEEN to_char( add_months( last_day(p.std_ymd) + 1, -1), 'YYYY-MM-DD') AND to_char( last_day(p.std_ymd), 'YYYY-MM-DD')
)
SELECT
    a.HOLDING_ID
    , a.STD_YM
    , trunc(a.TARGET_CPUS * b.WORK_DAYS / b.TOT_WORK_DAYS) AS TARGET_CPUS
    , trunc(a.TARGET_CPS * b.WORK_DAYS / b.TOT_WORK_DAYS) AS TARGET_CPS
    , trunc(a.TARGET_BPUS * b.WORK_DAYS / b.TOT_WORK_DAYS) AS TARGET_BPUS
    , trunc(a.TARGET_BPS * b.WORK_DAYS / b.TOT_WORK_DAYS) AS TARGET_BPS
FROM
    (
        SELECT
            b.holding_id
            , a.target_dt AS std_ym
            , sum(CASE WHEN type3_cd = '1130' THEN vehic_cnt ELSE 0 END) AS target_cpus
            , sum(CASE WHEN type3_cd = '1130' THEN total_amt  ELSE 0 END) AS target_cps
            , sum(CASE WHEN type3_cd = '2210' THEN vehic_cnt ELSE 0 END) AS target_bpus
            , sum(CASE WHEN type3_cd = '2210' THEN total_amt ELSE 0 END) AS target_bps
        FROM svc_monthly_sales_target a
            , co_group b
            , with_param p
        WHERE 1=1
        AND a.dealer_id = b.group_id
        AND B.HOLDING_ID = STD_DEALER
        AND a.type3_cd IN ('1130', '2210')
        AND a.target_dt = substr(p.std_ymd , 1, 6)
        GROUP BY b.holding_id
                , a.target_dt
) a
, with_working_day b</t>
        </r>
      </text>
    </comment>
    <comment ref="O6" authorId="0" shapeId="0" xr:uid="{C91EABA8-20CD-4950-AFFD-4B35243EDA1A}">
      <text>
        <r>
          <rPr>
            <b/>
            <sz val="9"/>
            <color indexed="81"/>
            <rFont val="Tahoma"/>
            <family val="2"/>
          </rPr>
          <t>SELECT a.dealer_id
    , count(*)
FROM dms_svc_ro a
WHERE 1=1
AND a.dealer_id = 'DT00000'
and a.repair_type_cd = '1'
AND a.propo_dt between '20230101' and '20230131'
AND ((a.ro_close_type_cd != 'BP' and a.ro_close_type_cd = 'FMS')
     or (a.ro_close_type_cd != 'BP' and a.ro_close_type_cd = 'PSP')
     or (a.ro_close_type_cd != 'BP' and a.ro_close_type_cd = 'GR')
     or (a.ro_close_type_cd != 'BP' and a.ro_close_type_cd = 'FMS_1K')
     or (a.ro_close_type_cd != 'BP' and a.ro_close_type_cd = 'PO')
     )
and a.stat_cd != '99'
group by a.dealer_id</t>
        </r>
      </text>
    </comment>
    <comment ref="P6" authorId="0" shapeId="0" xr:uid="{61A4FB25-C9BE-499D-9E0C-AE9A498A2600}">
      <text>
        <r>
          <rPr>
            <b/>
            <sz val="9"/>
            <color indexed="81"/>
            <rFont val="Tahoma"/>
            <family val="2"/>
          </rPr>
          <t>SELECT dealer_id
    , svc_kpi_code_amt
FROM dms_svc_kpi_resource a
WHERE 1=1
and a.dealer_id= 'DT00000'
and a.yyyymm= '202301'
and svc_kpi_code_type = 'DMS_BI_SVC001'
and svc_kpi_code = 'SVC_CPUS'</t>
        </r>
      </text>
    </comment>
    <comment ref="M7" authorId="0" shapeId="0" xr:uid="{3D475936-4D28-4CAF-8495-F95492F4317F}">
      <text>
        <r>
          <rPr>
            <b/>
            <sz val="9"/>
            <color indexed="81"/>
            <rFont val="Tahoma"/>
            <family val="2"/>
          </rPr>
          <t>WITH screen_input AS (
    SELECT'20230131' AS std_ymd
        , 'DT00000' AS std_dealer
    FROM dual 
), with_param AS(
    SELECT std_ymd
        , std_dealer
    FROM screen_input
)
    SELECT
        holding_id
        , sum(decode(std_type, 'TY', actual_cpus, 0)) AS actual_cpus
        , sum(decode(std_type, 'TY', actual_bpus, 0)) AS actual_bpus
    FROM
        (
            SELECT
                'TY' AS std_type
    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    , b.holding_id
                , a.shop_cd
                , a.std_dt
                , nvl(a.fp, 0) + nvl(a.po, 0) + nvl(a.gr, 0) AS actual_cpus
                , nvl(a.bp, 0) AS actual_bpus
            FROM
                svc_daily_unit_report a
                , co_group b
                , with_param p
            WHERE
                a.shop_cd = b.group_id
                AND b.holding_id = p.std_dealer
                AND std_dt = p.std_ymd
        )
GROUP BY holding_id</t>
        </r>
      </text>
    </comment>
    <comment ref="N7" authorId="0" shapeId="0" xr:uid="{9C6C619C-81A9-4A6C-81D0-C15412B43FD5}">
      <text>
        <r>
          <rPr>
            <b/>
            <sz val="9"/>
            <color indexed="81"/>
            <rFont val="Tahoma"/>
            <family val="2"/>
          </rPr>
          <t>WITH screen_input AS (
    SELECT'20220131' AS std_ymd
        , 'DT00000' AS std_dealer
    FROM dual 
), with_param AS(
    SELECT std_ymd
        , std_dealer
    FROM screen_input
)
    SELECT
        holding_id
        , sum(decode(std_type, 'TY', actual_cpus, 0)) AS actual_cpus
        , sum(decode(std_type, 'TY', actual_bpus, 0)) AS actual_bpus
    FROM
        (
            SELECT
                'TY' AS std_type
    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    , b.holding_id
                , a.shop_cd
                , a.std_dt
                , nvl(a.fp, 0) + nvl(a.po, 0) + nvl(a.gr, 0) AS actual_cpus
                , nvl(a.bp, 0) AS actual_bpus
            FROM
                svc_daily_unit_report a
                , co_group b
                , with_param p
            WHERE
                a.shop_cd = b.group_id
                AND b.holding_id = p.std_dealer
                AND std_dt = p.std_ymd
        )
GROUP BY holding_id</t>
        </r>
      </text>
    </comment>
    <comment ref="O7" authorId="0" shapeId="0" xr:uid="{49B50FE0-EF21-44FB-B009-7429962F483A}">
      <text>
        <r>
          <rPr>
            <b/>
            <sz val="9"/>
            <color indexed="81"/>
            <rFont val="Tahoma"/>
            <family val="2"/>
          </rPr>
          <t>SELECT a.dealer_id
    , count(*)
FROM dms_svc_ro a
WHERE 1=1
AND a.dealer_id = 'DT00000'
and a.repair_type_cd = '1'
AND a.propo_dt between '20230101' and '20230131'
AND ((a.ro_close_type_cd != 'BP' and a.ro_close_type_cd = 'FMS')
     or (a.ro_close_type_cd != 'BP' and a.ro_close_type_cd = 'PSP')
     or (a.ro_close_type_cd != 'BP' and a.ro_close_type_cd = 'GR')
     or (a.ro_close_type_cd != 'BP' and a.ro_close_type_cd = 'FMS_1K')
     or (a.ro_close_type_cd != 'BP' and a.ro_close_type_cd = 'PO')
     )
and a.stat_cd != '99'
group by a.dealer_id</t>
        </r>
      </text>
    </comment>
    <comment ref="P7" authorId="0" shapeId="0" xr:uid="{C1803901-BBB6-4707-B4E1-50F5B9225E8A}">
      <text>
        <r>
          <rPr>
            <b/>
            <sz val="9"/>
            <color indexed="81"/>
            <rFont val="Tahoma"/>
            <family val="2"/>
          </rPr>
          <t>SELECT a.dealer_id
    , count(*)
FROM dms_svc_ro a
WHERE 1=1
AND a.dealer_id = 'DT00000'
and a.repair_type_cd = '1'
AND a.propo_dt between '20220101' and '20220131'
AND ((a.ro_close_type_cd != 'BP' and a.ro_close_type_cd = 'FMS')
     or (a.ro_close_type_cd != 'BP' and a.ro_close_type_cd = 'PSP')
     or (a.ro_close_type_cd != 'BP' and a.ro_close_type_cd = 'GR')
     or (a.ro_close_type_cd != 'BP' and a.ro_close_type_cd = 'FMS_1K')
     or (a.ro_close_type_cd != 'BP' and a.ro_close_type_cd = 'PO')
     )
and a.stat_cd != '99'
group by a.dealer_id</t>
        </r>
      </text>
    </comment>
    <comment ref="O8" authorId="0" shapeId="0" xr:uid="{A5FC005F-E611-4964-9EA5-FC223F07E962}">
      <text>
        <r>
          <rPr>
            <b/>
            <sz val="9"/>
            <color indexed="81"/>
            <rFont val="Tahoma"/>
            <family val="2"/>
          </rPr>
          <t>select sum(svc_kpi_code_amt) / count(*)
from dms_svc_kpi_resource
where 1=1
and yyyymm = '202301'
and dealer_id = 'DT00000'
and svc_kpi_code = 'SVC_GR_RESV_AICC_WEEKDAY_AVG'</t>
        </r>
      </text>
    </comment>
    <comment ref="O9" authorId="0" shapeId="0" xr:uid="{D8D26FCB-5CA1-4D67-B4DC-A9ED2197AEBE}">
      <text>
        <r>
          <rPr>
            <b/>
            <sz val="9"/>
            <color indexed="81"/>
            <rFont val="Tahoma"/>
            <family val="2"/>
          </rPr>
          <t>select sum(svc_kpi_code_amt) / count(*)
from dms_svc_kpi_resource
where 1=1
and yyyymm = '202301'
and dealer_id = 'DT00000'
and svc_kpi_code = 'SVC_GR_RESV_AICC_WEEKEND_AVG'</t>
        </r>
      </text>
    </comment>
    <comment ref="M10" authorId="0" shapeId="0" xr:uid="{AD372A56-C465-4CBF-8D74-254E852AF4B8}">
      <text>
        <r>
          <rPr>
            <b/>
            <sz val="9"/>
            <color indexed="81"/>
            <rFont val="Tahoma"/>
            <family val="2"/>
          </rPr>
          <t xml:space="preserve">WITH screen_input AS (
    SELECT'20230131' AS std_ymd
    FROM dual 
)
SELECT NVL(SUM(CASE WHEN A.WORK_KOREA = 0 THEN 1 WHEN A.WEEK_DAY = 7 THEN 0.5 ELSE 0 END), 0) AS tot_work_days
    -- </t>
        </r>
        <r>
          <rPr>
            <b/>
            <sz val="9"/>
            <color indexed="81"/>
            <rFont val="돋움"/>
            <family val="3"/>
            <charset val="129"/>
          </rPr>
          <t>오늘까지의</t>
        </r>
        <r>
          <rPr>
            <b/>
            <sz val="9"/>
            <color indexed="81"/>
            <rFont val="Tahoma"/>
            <family val="2"/>
          </rPr>
          <t xml:space="preserve"> WORKING_DAY
FROM co_calendar a
    , screen_input p
WHERE 1=1 
AND base_dt BETWEEN to_char( add_months( last_day(p.std_ymd) + 1, -1), 'YYYY-MM-DD')
AND to_char( last_day(p.std_ymd), 'YYYY-MM-DD')</t>
        </r>
      </text>
    </comment>
    <comment ref="N10" authorId="0" shapeId="0" xr:uid="{80B31535-154E-4160-B97B-7966C4734E23}">
      <text>
        <r>
          <rPr>
            <sz val="9"/>
            <color indexed="81"/>
            <rFont val="Tahoma"/>
            <family val="2"/>
          </rPr>
          <t>SELECT SUM(GR_SA_TOTAL) AS VAL
FROM SVC_SERVICE_KPI_ELEMENT_DEALER A
    , CO_GROUP B
WHERE 1=1
AND B.GROUP_ID = A.UP_GROUP_ID
AND B.HOLDING_ID = 'DT00000'
AND YYYY_MM = '2023-01'</t>
        </r>
      </text>
    </comment>
    <comment ref="O10" authorId="0" shapeId="0" xr:uid="{89A25581-B28F-4FCC-8DD4-81671D17BAA4}">
      <text>
        <r>
          <rPr>
            <sz val="9"/>
            <color indexed="81"/>
            <rFont val="Tahoma"/>
            <family val="2"/>
          </rPr>
          <t>SELECT dealer_id
    , svc_kpi_code_amt
FROM dms_svc_kpi_resource a
WHERE 1=1
and a.dealer_id= 'DT00000'
and a.yyyymm= '202301'
and svc_kpi_code_type = 'DMS_BI_SVC001'
and svc_kpi_code = 'WORKING_DAY'</t>
        </r>
      </text>
    </comment>
    <comment ref="P10" authorId="0" shapeId="0" xr:uid="{DB13C299-F092-4E32-9194-2F68226C13D6}">
      <text>
        <r>
          <rPr>
            <b/>
            <sz val="9"/>
            <color indexed="81"/>
            <rFont val="Tahoma"/>
            <family val="2"/>
          </rPr>
          <t xml:space="preserve">    SELECT a.dealer_id
        , sum(a.svc_kpi_code_amt) as amt
    FROM dms_svc_kpi_resource a
    WHERE 1=1
    and a.dealer_id= 'DT00000'
    and a.yyyymm= '202301'
    and svc_kpi_code_type = 'DMS_BI_SVC002'
    and svc_kpi_code = 'SVC_GS_SA'
    group by a.dealer_id</t>
        </r>
      </text>
    </comment>
    <comment ref="M11" authorId="0" shapeId="0" xr:uid="{0CEA47AB-B330-4804-99A1-671BA82849BD}">
      <text>
        <r>
          <rPr>
            <b/>
            <sz val="9"/>
            <color indexed="81"/>
            <rFont val="Tahoma"/>
            <family val="2"/>
          </rPr>
          <t xml:space="preserve">WITH screen_input AS (
    SELECT'20230131' AS std_ymd
    FROM dual 
)
SELECT NVL(SUM(CASE WHEN A.WORK_KOREA = 0 THEN 1 WHEN A.WEEK_DAY = 7 THEN 0.5 ELSE 0 END), 0) AS tot_work_days
    -- </t>
        </r>
        <r>
          <rPr>
            <b/>
            <sz val="9"/>
            <color indexed="81"/>
            <rFont val="돋움"/>
            <family val="3"/>
            <charset val="129"/>
          </rPr>
          <t>오늘까지의</t>
        </r>
        <r>
          <rPr>
            <b/>
            <sz val="9"/>
            <color indexed="81"/>
            <rFont val="Tahoma"/>
            <family val="2"/>
          </rPr>
          <t xml:space="preserve"> WORKING_DAY
FROM co_calendar a
    , screen_input p
WHERE 1=1 
AND base_dt BETWEEN to_char( add_months( last_day(p.std_ymd) + 1, -1), 'YYYY-MM-DD')
AND to_char( last_day(p.std_ymd), 'YYYY-MM-DD')</t>
        </r>
      </text>
    </comment>
    <comment ref="N11" authorId="0" shapeId="0" xr:uid="{14D53D93-16DF-4E2A-A165-CDD35358906F}">
      <text>
        <r>
          <rPr>
            <b/>
            <sz val="9"/>
            <color indexed="81"/>
            <rFont val="Tahoma"/>
            <family val="2"/>
          </rPr>
          <t xml:space="preserve">SELECT SUM(CASE WHEN USER_TYPE IN ('32', '33') AND FRM_KIND = '1'
           THEN 1
           ELSE 0
      END) AS GS
    , SUM(CASE WHEN ((USER_TYPE IN ('32', '33') AND FRM_KIND = '2') OR (USER_TYPE IN ('36', '37')))
           THEN 1
           ELSE 0
      END) AS BP
FROM (
SELECT DISTINCT USER_ID, USER_TYPE, FRM_KIND
FROM (
    SELECT   A.*
            ,B.NAME AS USER_NM
            ,B.RESIGNED_DT
            ,CASE 
                 WHEN C.SHOP_CD IS NULL THEN
                     CASE A.WEEK_DAY
                        WHEN '1' THEN NULL 
                        WHEN '7' THEN CASE (SELECT OFFDAY_YN FROM SVC_WORKDATE WHERE SHOP_CD = A.GROUP_ID AND WORK_DATE = A.WORK_DATE ) WHEN 'Y' THEN NULL ELSE 8 END
                     ELSE 8 END
                 ELSE
                     CASE A.WEEK_DAY
                         WHEN '1' THEN CASE C.WORK_HOUR WHEN 0 THEN NULL ELSE C.WORK_HOUR END                     
                         ELSE DECODE(C.WORK_HOUR, NULL, 8, C.WORK_HOUR) 
                     END
             END
                 AS WORK_HOUR
               ,CASE
                 WHEN C.SHOP_CD IS NULL THEN
                     CASE A.WEEK_DAY
                        WHEN '1' THEN NULL
                        WHEN '7' THEN CASE (SELECT OFFDAY_YN FROM SVC_WORKDATE WHERE SHOP_CD = A.GROUP_ID AND WORK_DATE = A.WORK_DATE ) WHEN 'Y' THEN NULL ELSE 0 END
                     ELSE 0 END
                 ELSE
                     CASE A.WEEK_DAY
                         WHEN '1' THEN CASE C.OVER_HOUR WHEN 0 THEN NULL ELSE C.OVER_HOUR END                                 
                         ELSE DECODE(C.OVER_HOUR, NULL, 0, C.OVER_HOUR)                   
                     END
             END 
             AS OVER_TIME        
            ,A.GROUP_ID AS SHOP_CD
            ,DECODE(C.SHOP_CD, NULL, 'I', 'U') AS OLD_FLAG
            ,'' AS FLAG
            ,B.FRM_KIND AS CURR_FRM_KIND
            ,A.USER_TYPE AS CURR_USER_TYPE  -- L 220721_0005 </t>
        </r>
        <r>
          <rPr>
            <b/>
            <sz val="9"/>
            <color indexed="81"/>
            <rFont val="돋움"/>
            <family val="3"/>
            <charset val="129"/>
          </rPr>
          <t>변경된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업무유형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보여주기
</t>
        </r>
        <r>
          <rPr>
            <b/>
            <sz val="9"/>
            <color indexed="81"/>
            <rFont val="Tahoma"/>
            <family val="2"/>
          </rPr>
          <t xml:space="preserve">        FROM (SELECT A.*
                FROM (SELECT A.USER_ID
                            ,A.START_DT
                            ,A.END_DT
                            ,A.GROUP_ID
                            ,A.USER_TYPE
                            ,B.WORK_DATE
                            ,A.FRM_KIND
                            ,A.ACTIVE_YN
                            ,B.WEEK_DAY
                        FROM CO_USERS_HIST A
                            ,(SELECT REPLACE(BASE_DT, '-', '') WORK_DATE
                                    ,WEEK_DAY
                                FROM CO_CALENDAR
                               WHERE SUBSTR(REPLACE(BASE_DT, '-', ''), 0, 6) = '202301') B
                       WHERE GROUP_ID IN (SELECT GROUP_ID FROM CO_GROUP WHERE HOLDING_ID = 'DT00000')
                         -- USER_TYPE </t>
        </r>
        <r>
          <rPr>
            <b/>
            <sz val="9"/>
            <color indexed="81"/>
            <rFont val="돋움"/>
            <family val="3"/>
            <charset val="129"/>
          </rPr>
          <t>변경으로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  <r>
          <rPr>
            <b/>
            <sz val="9"/>
            <color indexed="81"/>
            <rFont val="Tahoma"/>
            <family val="2"/>
          </rPr>
          <t xml:space="preserve">                         AND USER_TYPE IN ('32', '33', '36', '37')
                         --AND USER_TYPE BETWEEN '32' AND '33'
                         AND (START_DT BETWEEN '00000000' AND '202301' || '31'
                           OR  END_DT BETWEEN '202301' || '01' AND '99999999')) A
               WHERE A.WORK_DATE BETWEEN A.START_DT AND END_DT) A
            ,CO_USERS B
            ,SVC_TECH_WORKTIME C
       WHERE A.USER_ID = B.USER_ID
         --AND B.ACTIVE_YN = 'Y'
         AND (B.ACTIVE_YN = 'Y'
           OR  (B.ACTIVE_YN = 'N'
            AND SUBSTR(REPLACE(B.RESIGNED_DT, '-', ''), 0, 6) &gt;= '202301'))
         AND A.USER_ID = C.TECHMAN_ID(+)
         AND A.WORK_DATE = C.WORK_DATE(+)
         --jhkim, SCC110524_002, </t>
        </r>
        <r>
          <rPr>
            <b/>
            <sz val="9"/>
            <color indexed="81"/>
            <rFont val="돋움"/>
            <family val="3"/>
            <charset val="129"/>
          </rPr>
          <t>시간을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수정해도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가져왔음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  <r>
          <rPr>
            <b/>
            <sz val="9"/>
            <color indexed="81"/>
            <rFont val="Tahoma"/>
            <family val="2"/>
          </rPr>
          <t xml:space="preserve">         AND A.GROUP_ID = C.SHOP_CD(+)
    ORDER BY A.USER_TYPE
            ,CURR_FRM_KIND
            ,A.USER_ID
            ,A.WORK_DATE
    )
)
WHERE 1=1</t>
        </r>
      </text>
    </comment>
    <comment ref="O11" authorId="0" shapeId="0" xr:uid="{DDFBDAAD-8F64-4B9E-8EEE-6678EBE207AD}">
      <text>
        <r>
          <rPr>
            <sz val="9"/>
            <color indexed="81"/>
            <rFont val="Tahoma"/>
            <family val="2"/>
          </rPr>
          <t>SELECT dealer_id
    , svc_kpi_code_amt
FROM dms_svc_kpi_resource a
WHERE 1=1
and a.dealer_id= 'DT00000'
and a.yyyymm= '202301'
and svc_kpi_code_type = 'DMS_BI_SVC001'
and svc_kpi_code = 'WORKING_DAY'</t>
        </r>
      </text>
    </comment>
    <comment ref="P11" authorId="0" shapeId="0" xr:uid="{5E47AFAF-D7FA-4D41-8AF8-84FBC0E0DECB}">
      <text>
        <r>
          <rPr>
            <b/>
            <sz val="9"/>
            <color indexed="81"/>
            <rFont val="Tahoma"/>
            <family val="2"/>
          </rPr>
          <t xml:space="preserve">    SELECT a.dealer_id
        , sum(a.svc_kpi_code_amt) as amt
    FROM dms_svc_kpi_resource a
    WHERE 1=1
    and a.dealer_id= 'DT00000'
    and a.yyyymm= '202301'
    and svc_kpi_code_type = 'DMS_BI_SVC002'
    and svc_kpi_code = 'SVC_GS_TECH'
    group by a.dealer_id</t>
        </r>
      </text>
    </comment>
    <comment ref="M12" authorId="0" shapeId="0" xr:uid="{55662735-EC03-4222-876C-3C82C80433D1}">
      <text>
        <r>
          <rPr>
            <b/>
            <sz val="9"/>
            <color indexed="81"/>
            <rFont val="Tahoma"/>
            <family val="2"/>
          </rPr>
          <t xml:space="preserve">WITH screen_input AS (
    SELECT'20230131' AS std_ymd
    FROM dual 
)
SELECT NVL(SUM(CASE WHEN A.WORK_KOREA = 0 THEN 1 WHEN A.WEEK_DAY = 7 THEN 0.5 ELSE 0 END), 0) AS tot_work_days
    -- </t>
        </r>
        <r>
          <rPr>
            <b/>
            <sz val="9"/>
            <color indexed="81"/>
            <rFont val="돋움"/>
            <family val="3"/>
            <charset val="129"/>
          </rPr>
          <t>오늘까지의</t>
        </r>
        <r>
          <rPr>
            <b/>
            <sz val="9"/>
            <color indexed="81"/>
            <rFont val="Tahoma"/>
            <family val="2"/>
          </rPr>
          <t xml:space="preserve"> WORKING_DAY
FROM co_calendar a
    , screen_input p
WHERE 1=1 
AND base_dt BETWEEN to_char( add_months( last_day(p.std_ymd) + 1, -1), 'YYYY-MM-DD')
AND to_char( last_day(p.std_ymd), 'YYYY-MM-DD')</t>
        </r>
      </text>
    </comment>
    <comment ref="N12" authorId="0" shapeId="0" xr:uid="{CC1DFA10-0562-4E59-8B18-E2CD8B1F6F0F}">
      <text>
        <r>
          <rPr>
            <b/>
            <sz val="9"/>
            <color indexed="81"/>
            <rFont val="Tahoma"/>
            <family val="2"/>
          </rPr>
          <t>SELECT SUM(STALL_GS) AS VAL
FROM SVC_SERVICE_KPI_ELEMENT_DEALER A
    , CO_GROUP B
WHERE 1=1
AND B.GROUP_ID = A.UP_GROUP_ID
AND B.HOLDING_ID = 'DT00000'
AND YYYY_MM = '2023-01'</t>
        </r>
      </text>
    </comment>
    <comment ref="O12" authorId="0" shapeId="0" xr:uid="{41562C43-A746-44B1-9466-0B00FD5FB1A9}">
      <text>
        <r>
          <rPr>
            <sz val="9"/>
            <color indexed="81"/>
            <rFont val="Tahoma"/>
            <family val="2"/>
          </rPr>
          <t>SELECT dealer_id
    , svc_kpi_code_amt
FROM dms_svc_kpi_resource a
WHERE 1=1
and a.dealer_id= 'DT00000'
and a.yyyymm= '202301'
and svc_kpi_code_type = 'DMS_BI_SVC001'
and svc_kpi_code = 'WORKING_DAY'</t>
        </r>
      </text>
    </comment>
    <comment ref="P12" authorId="0" shapeId="0" xr:uid="{EB5742BB-1E72-48C9-AC45-DBF7E9DA8474}">
      <text>
        <r>
          <rPr>
            <b/>
            <sz val="9"/>
            <color indexed="81"/>
            <rFont val="Tahoma"/>
            <family val="2"/>
          </rPr>
          <t xml:space="preserve">    SELECT a.dealer_id
        , sum(a.svc_kpi_code_amt) as amt
    FROM dms_svc_kpi_resource a
    WHERE 1=1
    and a.dealer_id= 'DT00000'
    and a.yyyymm= '202301'
    and svc_kpi_code_type = 'DMS_BI_SVC002'
    and svc_kpi_code = 'SVC_GS_STALL'
    group by a.dealer_id</t>
        </r>
      </text>
    </comment>
    <comment ref="M13" authorId="0" shapeId="0" xr:uid="{14BD7F6F-8B7C-40D5-9600-53F3FA0295BA}">
      <text>
        <r>
          <rPr>
            <b/>
            <sz val="9"/>
            <color indexed="81"/>
            <rFont val="Tahoma"/>
            <family val="2"/>
          </rPr>
          <t>WITH screen_input AS (
    SELECT'20230131' AS std_ymd
        , 'DT00000' AS std_dealer
    FROM dual 
), with_param AS(
    SELECT std_ymd
        , to_char(add_months(to_date(std_ymd, 'YYYYMMDD'),-12), 'YYYYMMDD') AS ly_std_ymd
        , substr( to_char(add_months(to_date(std_ymd, 'YYYYMMDD'),-12), 'YYYYMMDD') , 1, 6) AS ly_std_ym
        , std_dealer
    FROM screen_input
)
SELECT holding_id
    , sum(decode(std_type, 'TY', actual_cps, 0)) AS actual_cps
    , sum(decode(std_type, 'TY', actual_bps, 0)) AS actual_bps
FROM (
        SELECT
            'TY' AS std_type
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, b.holding_id
            , a.std_dt
            , sum(CASE WHEN type3_cd = '1130' THEN sales_amt ELSE 0 END) AS actual_cps
            , sum(CASE WHEN type3_cd = '2210' THEN sales_amt ELSE 0 END) AS actual_bps
        FROM svc_daily_sales_report a
            , co_group b
            , with_param p
        WHERE 1=1
        AND a.shop_cd = b.group_id
        AND b.holding_id = p.std_dealer
        AND a.type3_cd IN ('1130', '2210')
        AND a.std_dt = p.std_ymd
        GROUP BY b.holding_id
            , a.std_dt
    )
WHERE 1=1
GROUP BY holding_id</t>
        </r>
      </text>
    </comment>
    <comment ref="N13" authorId="0" shapeId="0" xr:uid="{5ADD27A3-599A-4CCA-8A99-D7C882CC6D16}">
      <text>
        <r>
          <rPr>
            <sz val="9"/>
            <color indexed="81"/>
            <rFont val="Tahoma"/>
            <family val="2"/>
          </rPr>
          <t>WITH screen_input AS (
    SELECT'20230131' AS std_ymd
        , 'DT00000' AS std_dealer
    FROM dual 
), with_param AS(
    SELECT std_ymd
        , to_char(add_months(to_date(std_ymd, 'YYYYMMDD'),-12), 'YYYYMMDD') AS ly_std_ymd
        , substr( to_char(add_months(to_date(std_ymd, 'YYYYMMDD'),-12), 'YYYYMMDD') , 1, 6) AS ly_std_ym
        , std_dealer
    FROM screen_input
)
SELECT
    b.holding_id
    , a.target_dt AS std_ym
    , sum(CASE WHEN type3_cd = '1130' THEN vehic_cnt ELSE 0 END) AS target_cpus
    , sum(CASE WHEN type3_cd = '1130' THEN total_amt ELSE 0 END) AS target_cps
    , sum(CASE WHEN type3_cd = '1130' THEN trunc(total_amt / vehic_cnt / 1000) ELSE 0 END) AS target_cpup
    , sum(CASE WHEN type3_cd = '2210' THEN vehic_cnt ELSE 0 END) AS target_bpus
    , sum(CASE WHEN type3_cd = '2210' THEN total_amt ELSE 0 END) AS target_bps
    , sum(CASE WHEN type3_cd = '2210' THEN trunc(total_amt / vehic_cnt / 1000) ELSE 0 END) AS target_bpup
FROM
    svc_monthly_sales_target a
    , co_group b
    , with_param p
WHERE 1=1
AND a.dealer_id = b.group_id
AND b.holding_id = p.std_dealer
AND a.type3_cd IN ('1130', '2210')
AND a.target_dt = substr(p.std_ymd , 1, 6)
GROUP BY b.holding_id
    , a.target_dt</t>
        </r>
      </text>
    </comment>
    <comment ref="O13" authorId="0" shapeId="0" xr:uid="{68C417FB-F33E-48AD-B3A4-1FEA921EA2CC}">
      <text>
        <r>
          <rPr>
            <b/>
            <sz val="9"/>
            <color indexed="81"/>
            <rFont val="Tahoma"/>
            <family val="2"/>
          </rPr>
          <t>select a.dealer_id
    , sum(b.sales_amt)
from dms_svc_ro a
    left outer join dms_svc_ro_sales b
    on 1=1
    and a.group_id = b.group_id
    and a.propo_dt = b.propo_dt
    and a.propo_seq = b.propo_seq
where 1=1
and (a.repair_type_cd = '2' and ro_type_cd = 'I'
     or a.repair_type_cd = '2' and ro_type_cd = 'G')
and a.dealer_id = 'DT00000'
and b.sales_dt between to_date('20230101', 'yyyymmdd') and to_date('20230131', 'yyyymmdd')
and a.stat_cd != '99'
group by a.dealer_id</t>
        </r>
      </text>
    </comment>
    <comment ref="P13" authorId="0" shapeId="0" xr:uid="{D3877BB0-1F04-4672-9810-F1B70964BF47}">
      <text>
        <r>
          <rPr>
            <b/>
            <sz val="9"/>
            <color indexed="81"/>
            <rFont val="Tahoma"/>
            <family val="2"/>
          </rPr>
          <t>SELECT dealer_id
    , svc_kpi_code_amt
FROM dms_svc_kpi_resource a
WHERE 1=1
and a.dealer_id= 'DT00000'
and a.yyyymm= '202301'
and svc_kpi_code_type = 'DMS_BI_SVC001'
and svc_kpi_code = 'SVC_BPS'</t>
        </r>
      </text>
    </comment>
    <comment ref="M14" authorId="0" shapeId="0" xr:uid="{20C2403F-C06A-4EFD-88DE-7DF3A5BC3EAB}">
      <text>
        <r>
          <rPr>
            <b/>
            <sz val="9"/>
            <color indexed="81"/>
            <rFont val="Tahoma"/>
            <family val="2"/>
          </rPr>
          <t>WITH screen_input AS (
    SELECT'20230131' AS std_ymd
        , 'DT00000' AS std_dealer
    FROM dual 
), with_param AS(
    SELECT std_ymd
        , to_char(add_months(to_date(std_ymd, 'YYYYMMDD'),-12), 'YYYYMMDD') AS ly_std_ymd
        , substr( to_char(add_months(to_date(std_ymd, 'YYYYMMDD'),-12), 'YYYYMMDD') , 1, 6) AS ly_std_ym
        , std_dealer
    FROM screen_input
)
SELECT holding_id
    , sum(decode(std_type, 'TY', actual_cps, 0)) AS actual_cps
    , sum(decode(std_type, 'TY', actual_bps, 0)) AS actual_bps
FROM (
        SELECT
            'TY' AS std_type
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, b.holding_id
            , a.std_dt
            , sum(CASE WHEN type3_cd = '1130' THEN sales_amt ELSE 0 END) AS actual_cps
            , sum(CASE WHEN type3_cd = '2210' THEN sales_amt ELSE 0 END) AS actual_bps
        FROM svc_daily_sales_report a
            , co_group b
            , with_param p
        WHERE 1=1
        AND a.shop_cd = b.group_id
        AND b.holding_id = p.std_dealer
        AND a.type3_cd IN ('1130', '2210')
        AND a.std_dt = p.std_ymd
        GROUP BY b.holding_id
            , a.std_dt
    )
WHERE 1=1
GROUP BY holding_id</t>
        </r>
      </text>
    </comment>
    <comment ref="O14" authorId="0" shapeId="0" xr:uid="{48D7A397-F44A-4C4A-8ADD-27ECB29C1ADE}">
      <text>
        <r>
          <rPr>
            <b/>
            <sz val="9"/>
            <color indexed="81"/>
            <rFont val="Tahoma"/>
            <family val="2"/>
          </rPr>
          <t>select a.dealer_id
    , sum(b.sales_amt)
from dms_svc_ro a
    left outer join dms_svc_ro_sales b
    on 1=1
    and a.group_id = b.group_id
    and a.propo_dt = b.propo_dt
    and a.propo_seq = b.propo_seq
where 1=1
and (a.repair_type_cd = '2' and ro_type_cd = 'I'
     or a.repair_type_cd = '2' and ro_type_cd = 'G')
and a.dealer_id = 'DT00000'
and b.sales_dt between to_date('20230101', 'yyyymmdd') and to_date('20230131', 'yyyymmdd')
and a.stat_cd != '99'
group by a.dealer_id</t>
        </r>
      </text>
    </comment>
    <comment ref="P14" authorId="0" shapeId="0" xr:uid="{E8356B02-4891-4036-8A32-B3C9D1BF24E8}">
      <text>
        <r>
          <rPr>
            <sz val="9"/>
            <color indexed="81"/>
            <rFont val="Tahoma"/>
            <family val="2"/>
          </rPr>
          <t>select a.dealer_id
    , sum(b.sales_amt)
from dms_svc_ro a
    left outer join dms_svc_ro_sales b
    on 1=1
    and a.group_id = b.group_id
    and a.propo_dt = b.propo_dt
    and a.propo_seq = b.propo_seq
where 1=1
and (a.repair_type_cd = '2' and ro_type_cd = 'I'
     or a.repair_type_cd = '2' and ro_type_cd = 'G')
and a.dealer_id = 'DT00000'
and b.sales_dt between to_date('20220101', 'yyyymmdd') and to_date('20220131', 'yyyymmdd')
and a.stat_cd != '99'
group by a.dealer_id</t>
        </r>
      </text>
    </comment>
    <comment ref="M15" authorId="0" shapeId="0" xr:uid="{C113CF3C-D36E-4A98-9B9B-E997E8AEE431}">
      <text>
        <r>
          <rPr>
            <b/>
            <sz val="9"/>
            <color indexed="81"/>
            <rFont val="Tahoma"/>
            <family val="2"/>
          </rPr>
          <t>WITH screen_input AS (
    SELECT'20230131' AS std_ymd
        , 'DT00000' AS std_dealer
    FROM dual 
), with_param AS(
    SELECT std_ymd
        , std_dealer
    FROM screen_input
)
    SELECT
        holding_id
        , sum(decode(std_type, 'TY', actual_cpus, 0)) AS actual_cpus
        , sum(decode(std_type, 'TY', actual_bpus, 0)) AS actual_bpus
    FROM
        (
            SELECT
                'TY' AS std_type
    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    , b.holding_id
                , a.shop_cd
                , a.std_dt
                , nvl(a.fp, 0) + nvl(a.po, 0) + nvl(a.gr, 0) AS actual_cpus
                , nvl(a.bp, 0) AS actual_bpus
            FROM
                svc_daily_unit_report a
                , co_group b
                , with_param p
            WHERE
                a.shop_cd = b.group_id
                AND b.holding_id = p.std_dealer
                AND std_dt = p.std_ymd
        )
GROUP BY holding_id</t>
        </r>
      </text>
    </comment>
    <comment ref="N15" authorId="0" shapeId="0" xr:uid="{5599FC04-3E64-4D8B-BC9C-3931A30D6EE3}">
      <text>
        <r>
          <rPr>
            <b/>
            <sz val="9"/>
            <color indexed="81"/>
            <rFont val="Tahoma"/>
            <family val="2"/>
          </rPr>
          <t xml:space="preserve">WITH screen_input AS (
    SELECT'20230131' AS std_ymd
        , 'DT00000' AS std_dealer
    FROM dual 
), with_param AS(
    SELECT std_ymd
        , std_dealer
    FROM screen_input
), 
with_working_day AS (
    SELECT nvl( sum(decode(work_dealer, 0, CASE WHEN week_day = 7 THEN 0.5 ELSE 1 END, 0 )) , 0)AS tot_work_days
        , nvl( sum( CASE
                   WHEN base_dt BETWEEN to_char( add_months( last_day(p.std_ymd) + 1, -1), 'YYYY-MM-DD')
                                    AND to_char( to_date(p.std_ymd, 'YYYY-MM-DD'), 'YYYY-MM-DD') THEN
                       decode(work_dealer, 0, CASE WHEN week_day = 7 THEN 0.5 ELSE 1 END, 0 ) 
               END
           ) , 0) AS work_days
        -- </t>
        </r>
        <r>
          <rPr>
            <b/>
            <sz val="9"/>
            <color indexed="81"/>
            <rFont val="돋움"/>
            <family val="3"/>
            <charset val="129"/>
          </rPr>
          <t>오늘까지의</t>
        </r>
        <r>
          <rPr>
            <b/>
            <sz val="9"/>
            <color indexed="81"/>
            <rFont val="Tahoma"/>
            <family val="2"/>
          </rPr>
          <t xml:space="preserve"> WORKING_DAY
    FROM co_calendar a
        , with_param p
    WHERE base_dt BETWEEN to_char( add_months( last_day(p.std_ymd) + 1, -1), 'YYYY-MM-DD') AND to_char( last_day(p.std_ymd), 'YYYY-MM-DD')
)
SELECT
    a.HOLDING_ID
    , a.STD_YM
    , trunc(a.TARGET_CPUS * b.WORK_DAYS / b.TOT_WORK_DAYS) AS TARGET_CPUS
    , trunc(a.TARGET_CPS * b.WORK_DAYS / b.TOT_WORK_DAYS) AS TARGET_CPS
    , trunc(a.TARGET_BPUS * b.WORK_DAYS / b.TOT_WORK_DAYS) AS TARGET_BPUS
    , trunc(a.TARGET_BPS * b.WORK_DAYS / b.TOT_WORK_DAYS) AS TARGET_BPS
FROM
    (
        SELECT
            b.holding_id
            , a.target_dt AS std_ym
            , sum(CASE WHEN type3_cd = '1130' THEN vehic_cnt ELSE 0 END) AS target_cpus
            , sum(CASE WHEN type3_cd = '1130' THEN total_amt  ELSE 0 END) AS target_cps
            , sum(CASE WHEN type3_cd = '2210' THEN vehic_cnt ELSE 0 END) AS target_bpus
            , sum(CASE WHEN type3_cd = '2210' THEN total_amt ELSE 0 END) AS target_bps
        FROM svc_monthly_sales_target a
            , co_group b
            , with_param p
        WHERE 1=1
        AND a.dealer_id = b.group_id
        AND B.HOLDING_ID = STD_DEALER
        AND a.type3_cd IN ('1130', '2210')
        AND a.target_dt = substr(p.std_ymd , 1, 6)
        GROUP BY b.holding_id
                , a.target_dt
) a
, with_working_day b</t>
        </r>
      </text>
    </comment>
    <comment ref="O15" authorId="0" shapeId="0" xr:uid="{AD9A2748-BA99-4C00-AA47-547F720B04AC}">
      <text>
        <r>
          <rPr>
            <b/>
            <sz val="9"/>
            <color indexed="81"/>
            <rFont val="Tahoma"/>
            <family val="2"/>
          </rPr>
          <t>SELECT a.dealer_id
    , count(*)
FROM dms_svc_ro a
WHERE 1=1
AND a.dealer_id = 'DT00000'
AND a.propo_dt between '20230101' and '20230131'
AND a.ro_close_type_cd = 'BP'
and a.stat_cd != '99'
group by a.dealer_id</t>
        </r>
      </text>
    </comment>
    <comment ref="P15" authorId="0" shapeId="0" xr:uid="{7445574A-6CF1-49E8-AB1D-F4D47FB27E39}">
      <text>
        <r>
          <rPr>
            <b/>
            <sz val="9"/>
            <color indexed="81"/>
            <rFont val="Tahoma"/>
            <family val="2"/>
          </rPr>
          <t>SELECT dealer_id
    , svc_kpi_code_amt
FROM dms_svc_kpi_resource a
WHERE 1=1
and a.dealer_id= 'DT00000'
and a.yyyymm= '202301'
and svc_kpi_code_type = 'DMS_BI_SVC001'
and svc_kpi_code = 'SVC_BPUS'</t>
        </r>
      </text>
    </comment>
    <comment ref="M16" authorId="0" shapeId="0" xr:uid="{F9A56A29-265E-4E4A-B956-2D6F08C14ED5}">
      <text>
        <r>
          <rPr>
            <b/>
            <sz val="9"/>
            <color indexed="81"/>
            <rFont val="Tahoma"/>
            <family val="2"/>
          </rPr>
          <t>WITH screen_input AS (
    SELECT'20230131' AS std_ymd
        , 'DT00000' AS std_dealer
    FROM dual 
), with_param AS(
    SELECT std_ymd
        , std_dealer
    FROM screen_input
)
    SELECT
        holding_id
        , sum(decode(std_type, 'TY', actual_cpus, 0)) AS actual_cpus
        , sum(decode(std_type, 'TY', actual_bpus, 0)) AS actual_bpus
    FROM
        (
            SELECT
                'TY' AS std_type
    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    , b.holding_id
                , a.shop_cd
                , a.std_dt
                , nvl(a.fp, 0) + nvl(a.po, 0) + nvl(a.gr, 0) AS actual_cpus
                , nvl(a.bp, 0) AS actual_bpus
            FROM
                svc_daily_unit_report a
                , co_group b
                , with_param p
            WHERE
                a.shop_cd = b.group_id
                AND b.holding_id = p.std_dealer
                AND std_dt = p.std_ymd
        )
GROUP BY holding_id</t>
        </r>
      </text>
    </comment>
    <comment ref="N16" authorId="0" shapeId="0" xr:uid="{01734C20-3323-4988-9A94-29B70E69C7F8}">
      <text>
        <r>
          <rPr>
            <b/>
            <sz val="9"/>
            <color indexed="81"/>
            <rFont val="Tahoma"/>
            <family val="2"/>
          </rPr>
          <t>WITH screen_input AS (
    SELECT'20220131' AS std_ymd
        , 'DT00000' AS std_dealer
    FROM dual 
), with_param AS(
    SELECT std_ymd
        , std_dealer
    FROM screen_input
)
    SELECT
        holding_id
        , sum(decode(std_type, 'TY', actual_cpus, 0)) AS actual_cpus
        , sum(decode(std_type, 'TY', actual_bpus, 0)) AS actual_bpus
    FROM
        (
            SELECT
                'TY' AS std_type
    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    , b.holding_id
                , a.shop_cd
                , a.std_dt
                , nvl(a.fp, 0) + nvl(a.po, 0) + nvl(a.gr, 0) AS actual_cpus
                , nvl(a.bp, 0) AS actual_bpus
            FROM
                svc_daily_unit_report a
                , co_group b
                , with_param p
            WHERE
                a.shop_cd = b.group_id
                AND b.holding_id = p.std_dealer
                AND std_dt = p.std_ymd
        )
GROUP BY holding_id</t>
        </r>
      </text>
    </comment>
    <comment ref="O16" authorId="0" shapeId="0" xr:uid="{6CEF4D99-22E1-43D7-AEBD-B1C6803D8810}">
      <text>
        <r>
          <rPr>
            <b/>
            <sz val="9"/>
            <color indexed="81"/>
            <rFont val="Tahoma"/>
            <family val="2"/>
          </rPr>
          <t>SELECT a.dealer_id
    , count(*)
FROM dms_svc_ro a
WHERE 1=1
AND a.dealer_id = 'DT00000'
AND a.propo_dt between '20230101' and '20230131'
AND a.ro_close_type_cd = 'BP'
and a.stat_cd != '99'
group by a.dealer_id</t>
        </r>
      </text>
    </comment>
    <comment ref="P16" authorId="0" shapeId="0" xr:uid="{E659B09C-7300-4CAE-BEB8-D074EBEFD0FF}">
      <text>
        <r>
          <rPr>
            <b/>
            <sz val="9"/>
            <color indexed="81"/>
            <rFont val="Tahoma"/>
            <family val="2"/>
          </rPr>
          <t>SELECT a.dealer_id
    , count(*)
FROM dms_svc_ro a
WHERE 1=1
AND a.dealer_id = 'DT00000'
AND a.propo_dt between '20220101' and '20220131'
AND a.ro_close_type_cd = 'BP'
and a.stat_cd != '99'
group by a.dealer_id</t>
        </r>
      </text>
    </comment>
    <comment ref="M17" authorId="0" shapeId="0" xr:uid="{4D754D02-1D3D-4A8F-BC58-335C48FDB4EC}">
      <text>
        <r>
          <rPr>
            <b/>
            <sz val="9"/>
            <color indexed="81"/>
            <rFont val="Tahoma"/>
            <family val="2"/>
          </rPr>
          <t xml:space="preserve">WITH screen_input AS (
    SELECT'20230131' AS std_ymd
        , 'DT00000' AS std_dealer
    FROM dual 
), with_param AS(
    SELECT std_ymd
        , std_dealer
    FROM screen_input
), 
with_working_day AS (
    SELECT nvl( sum(decode(work_dealer, 0, CASE WHEN week_day = 7 THEN 0.5 ELSE 1 END, 0 )) , 0)AS tot_work_days
        -- </t>
        </r>
        <r>
          <rPr>
            <b/>
            <sz val="9"/>
            <color indexed="81"/>
            <rFont val="돋움"/>
            <family val="3"/>
            <charset val="129"/>
          </rPr>
          <t>오늘까지의</t>
        </r>
        <r>
          <rPr>
            <b/>
            <sz val="9"/>
            <color indexed="81"/>
            <rFont val="Tahoma"/>
            <family val="2"/>
          </rPr>
          <t xml:space="preserve"> WORKING_DAY
    FROM co_calendar a
        , with_param p
    WHERE base_dt BETWEEN to_char( add_months( last_day(p.std_ymd) + 1, -1), 'YYYY-MM-DD') AND to_char( last_day(p.std_ymd), 'YYYY-MM-DD')
)
SELECT *
FROM with_working_day</t>
        </r>
      </text>
    </comment>
    <comment ref="N17" authorId="0" shapeId="0" xr:uid="{2BD0E1EC-1D06-4100-B454-AD27D55F1208}">
      <text>
        <r>
          <rPr>
            <sz val="9"/>
            <color indexed="81"/>
            <rFont val="Tahoma"/>
            <family val="2"/>
          </rPr>
          <t>SELECT SUM(BP_SA_TOTAL) AS VAL
FROM SVC_SERVICE_KPI_ELEMENT_DEALER A
    , CO_GROUP B
WHERE 1=1
AND B.GROUP_ID = A.UP_GROUP_ID
AND B.HOLDING_ID = 'DT00000'
AND YYYY_MM = '2023-01'</t>
        </r>
      </text>
    </comment>
    <comment ref="O17" authorId="0" shapeId="0" xr:uid="{FD455205-B972-4057-BC15-3F86F98E8BBA}">
      <text>
        <r>
          <rPr>
            <sz val="9"/>
            <color indexed="81"/>
            <rFont val="Tahoma"/>
            <family val="2"/>
          </rPr>
          <t>SELECT dealer_id
    , svc_kpi_code_amt
FROM dms_svc_kpi_resource a
WHERE 1=1
and a.dealer_id= 'DT00000'
and a.yyyymm= '202301'
and svc_kpi_code_type = 'DMS_BI_SVC001'
and svc_kpi_code = 'WORKING_DAY'</t>
        </r>
      </text>
    </comment>
    <comment ref="P17" authorId="0" shapeId="0" xr:uid="{8D578D1A-54BD-4AA4-92DA-0ABABDC643CC}">
      <text>
        <r>
          <rPr>
            <b/>
            <sz val="9"/>
            <color indexed="81"/>
            <rFont val="Tahoma"/>
            <family val="2"/>
          </rPr>
          <t xml:space="preserve">    SELECT a.dealer_id
        , sum(a.svc_kpi_code_amt) as amt
    FROM dms_svc_kpi_resource a
    WHERE 1=1
    and a.dealer_id= 'DT00000'
    and a.yyyymm= '202301'
    and svc_kpi_code_type = 'DMS_BI_SVC002'
    and svc_kpi_code = 'SVC_BP_SA'
    group by a.dealer_id</t>
        </r>
      </text>
    </comment>
    <comment ref="M18" authorId="0" shapeId="0" xr:uid="{7983F7D5-5902-4B9A-B82E-35C6E0193B49}">
      <text>
        <r>
          <rPr>
            <b/>
            <sz val="9"/>
            <color indexed="81"/>
            <rFont val="Tahoma"/>
            <family val="2"/>
          </rPr>
          <t xml:space="preserve">WITH screen_input AS (
    SELECT'20230131' AS std_ymd
        , 'DT00000' AS std_dealer
    FROM dual 
), with_param AS(
    SELECT std_ymd
        , std_dealer
    FROM screen_input
), 
with_working_day AS (
    SELECT nvl( sum(decode(work_dealer, 0, CASE WHEN week_day = 7 THEN 0.5 ELSE 1 END, 0 )) , 0)AS tot_work_days
        -- </t>
        </r>
        <r>
          <rPr>
            <b/>
            <sz val="9"/>
            <color indexed="81"/>
            <rFont val="돋움"/>
            <family val="3"/>
            <charset val="129"/>
          </rPr>
          <t>오늘까지의</t>
        </r>
        <r>
          <rPr>
            <b/>
            <sz val="9"/>
            <color indexed="81"/>
            <rFont val="Tahoma"/>
            <family val="2"/>
          </rPr>
          <t xml:space="preserve"> WORKING_DAY
    FROM co_calendar a
        , with_param p
    WHERE base_dt BETWEEN to_char( add_months( last_day(p.std_ymd) + 1, -1), 'YYYY-MM-DD') AND to_char( last_day(p.std_ymd), 'YYYY-MM-DD')
)
SELECT *
FROM with_working_day</t>
        </r>
      </text>
    </comment>
    <comment ref="N18" authorId="0" shapeId="0" xr:uid="{C37B28B6-1282-4676-A640-F5E6E203B5D7}">
      <text>
        <r>
          <rPr>
            <b/>
            <sz val="9"/>
            <color indexed="81"/>
            <rFont val="Tahoma"/>
            <family val="2"/>
          </rPr>
          <t xml:space="preserve">SELECT SUM(CASE WHEN USER_TYPE IN ('32', '33') AND FRM_KIND = '1'
           THEN 1
           ELSE 0
      END) AS GS
    , SUM(CASE WHEN ((USER_TYPE IN ('32', '33') AND FRM_KIND = '2') OR (USER_TYPE IN ('36', '37')))
           THEN 1
           ELSE 0
      END) AS BP
FROM (
SELECT DISTINCT USER_ID, USER_TYPE, FRM_KIND
FROM (
    SELECT   A.*
            ,B.NAME AS USER_NM
            ,B.RESIGNED_DT
            ,CASE 
                 WHEN C.SHOP_CD IS NULL THEN
                     CASE A.WEEK_DAY
                        WHEN '1' THEN NULL 
                        WHEN '7' THEN CASE (SELECT OFFDAY_YN FROM SVC_WORKDATE WHERE SHOP_CD = A.GROUP_ID AND WORK_DATE = A.WORK_DATE ) WHEN 'Y' THEN NULL ELSE 8 END
                     ELSE 8 END
                 ELSE
                     CASE A.WEEK_DAY
                         WHEN '1' THEN CASE C.WORK_HOUR WHEN 0 THEN NULL ELSE C.WORK_HOUR END                     
                         ELSE DECODE(C.WORK_HOUR, NULL, 8, C.WORK_HOUR) 
                     END
             END
                 AS WORK_HOUR
               ,CASE
                 WHEN C.SHOP_CD IS NULL THEN
                     CASE A.WEEK_DAY
                        WHEN '1' THEN NULL
                        WHEN '7' THEN CASE (SELECT OFFDAY_YN FROM SVC_WORKDATE WHERE SHOP_CD = A.GROUP_ID AND WORK_DATE = A.WORK_DATE ) WHEN 'Y' THEN NULL ELSE 0 END
                     ELSE 0 END
                 ELSE
                     CASE A.WEEK_DAY
                         WHEN '1' THEN CASE C.OVER_HOUR WHEN 0 THEN NULL ELSE C.OVER_HOUR END                                 
                         ELSE DECODE(C.OVER_HOUR, NULL, 0, C.OVER_HOUR)                   
                     END
             END 
             AS OVER_TIME        
            ,A.GROUP_ID AS SHOP_CD
            ,DECODE(C.SHOP_CD, NULL, 'I', 'U') AS OLD_FLAG
            ,'' AS FLAG
            ,B.FRM_KIND AS CURR_FRM_KIND
            ,A.USER_TYPE AS CURR_USER_TYPE  -- L 220721_0005 </t>
        </r>
        <r>
          <rPr>
            <b/>
            <sz val="9"/>
            <color indexed="81"/>
            <rFont val="돋움"/>
            <family val="3"/>
            <charset val="129"/>
          </rPr>
          <t>변경된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업무유형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보여주기
</t>
        </r>
        <r>
          <rPr>
            <b/>
            <sz val="9"/>
            <color indexed="81"/>
            <rFont val="Tahoma"/>
            <family val="2"/>
          </rPr>
          <t xml:space="preserve">        FROM (SELECT A.*
                FROM (SELECT A.USER_ID
                            ,A.START_DT
                            ,A.END_DT
                            ,A.GROUP_ID
                            ,A.USER_TYPE
                            ,B.WORK_DATE
                            ,A.FRM_KIND
                            ,A.ACTIVE_YN
                            ,B.WEEK_DAY
                        FROM CO_USERS_HIST A
                            ,(SELECT REPLACE(BASE_DT, '-', '') WORK_DATE
                                    ,WEEK_DAY
                                FROM CO_CALENDAR
                               WHERE SUBSTR(REPLACE(BASE_DT, '-', ''), 0, 6) = '202301') B
                       WHERE GROUP_ID IN (SELECT GROUP_ID FROM CO_GROUP WHERE HOLDING_ID = 'DT00000')
                         -- USER_TYPE </t>
        </r>
        <r>
          <rPr>
            <b/>
            <sz val="9"/>
            <color indexed="81"/>
            <rFont val="돋움"/>
            <family val="3"/>
            <charset val="129"/>
          </rPr>
          <t>변경으로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  <r>
          <rPr>
            <b/>
            <sz val="9"/>
            <color indexed="81"/>
            <rFont val="Tahoma"/>
            <family val="2"/>
          </rPr>
          <t xml:space="preserve">                         AND USER_TYPE IN ('32', '33', '36', '37')
                         --AND USER_TYPE BETWEEN '32' AND '33'
                         AND (START_DT BETWEEN '00000000' AND '202301' || '31'
                           OR  END_DT BETWEEN '202301' || '01' AND '99999999')) A
               WHERE A.WORK_DATE BETWEEN A.START_DT AND END_DT) A
            ,CO_USERS B
            ,SVC_TECH_WORKTIME C
       WHERE A.USER_ID = B.USER_ID
         --AND B.ACTIVE_YN = 'Y'
         AND (B.ACTIVE_YN = 'Y'
           OR  (B.ACTIVE_YN = 'N'
            AND SUBSTR(REPLACE(B.RESIGNED_DT, '-', ''), 0, 6) &gt;= '202301'))
         AND A.USER_ID = C.TECHMAN_ID(+)
         AND A.WORK_DATE = C.WORK_DATE(+)
         --jhkim, SCC110524_002, </t>
        </r>
        <r>
          <rPr>
            <b/>
            <sz val="9"/>
            <color indexed="81"/>
            <rFont val="돋움"/>
            <family val="3"/>
            <charset val="129"/>
          </rPr>
          <t>시간을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수정해도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가져왔음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  <r>
          <rPr>
            <b/>
            <sz val="9"/>
            <color indexed="81"/>
            <rFont val="Tahoma"/>
            <family val="2"/>
          </rPr>
          <t xml:space="preserve">         AND A.GROUP_ID = C.SHOP_CD(+)
    ORDER BY A.USER_TYPE
            ,CURR_FRM_KIND
            ,A.USER_ID
            ,A.WORK_DATE
    )
)
WHERE 1=1</t>
        </r>
      </text>
    </comment>
    <comment ref="O18" authorId="0" shapeId="0" xr:uid="{EEFB7B04-1C44-4019-A819-F134D72D3E0E}">
      <text>
        <r>
          <rPr>
            <sz val="9"/>
            <color indexed="81"/>
            <rFont val="Tahoma"/>
            <family val="2"/>
          </rPr>
          <t>SELECT dealer_id
    , svc_kpi_code_amt
FROM dms_svc_kpi_resource a
WHERE 1=1
and a.dealer_id= 'DT00000'
and a.yyyymm= '202301'
and svc_kpi_code_type = 'DMS_BI_SVC001'
and svc_kpi_code = 'WORKING_DAY'</t>
        </r>
      </text>
    </comment>
    <comment ref="P18" authorId="0" shapeId="0" xr:uid="{E3539DE7-D535-4210-A4F5-CE6AF45D42BE}">
      <text>
        <r>
          <rPr>
            <b/>
            <sz val="9"/>
            <color indexed="81"/>
            <rFont val="Tahoma"/>
            <family val="2"/>
          </rPr>
          <t xml:space="preserve">    SELECT a.dealer_id
        , sum(a.svc_kpi_code_amt) as amt
    FROM dms_svc_kpi_resource a
    WHERE 1=1
    and a.dealer_id= 'DT00000'
    and a.yyyymm= '202301'
    and svc_kpi_code_type = 'DMS_BI_SVC002'
    and svc_kpi_code = 'SVC_BP_TECH'
    group by a.dealer_id</t>
        </r>
      </text>
    </comment>
    <comment ref="M19" authorId="0" shapeId="0" xr:uid="{501CAC69-8C03-4DC0-B3A8-55FFF21CA5A7}">
      <text>
        <r>
          <rPr>
            <b/>
            <sz val="9"/>
            <color indexed="81"/>
            <rFont val="Tahoma"/>
            <family val="2"/>
          </rPr>
          <t xml:space="preserve">WITH screen_input AS (
    SELECT'20230131' AS std_ymd
        , 'DT00000' AS std_dealer
    FROM dual 
), with_param AS(
    SELECT std_ymd
        , std_dealer
    FROM screen_input
), 
with_working_day AS (
    SELECT nvl( sum(decode(work_dealer, 0, CASE WHEN week_day = 7 THEN 0.5 ELSE 1 END, 0 )) , 0)AS tot_work_days
        -- </t>
        </r>
        <r>
          <rPr>
            <b/>
            <sz val="9"/>
            <color indexed="81"/>
            <rFont val="돋움"/>
            <family val="3"/>
            <charset val="129"/>
          </rPr>
          <t>오늘까지의</t>
        </r>
        <r>
          <rPr>
            <b/>
            <sz val="9"/>
            <color indexed="81"/>
            <rFont val="Tahoma"/>
            <family val="2"/>
          </rPr>
          <t xml:space="preserve"> WORKING_DAY
    FROM co_calendar a
        , with_param p
    WHERE base_dt BETWEEN to_char( add_months( last_day(p.std_ymd) + 1, -1), 'YYYY-MM-DD') AND to_char( last_day(p.std_ymd), 'YYYY-MM-DD')
)
SELECT *
FROM with_working_day</t>
        </r>
      </text>
    </comment>
    <comment ref="N19" authorId="0" shapeId="0" xr:uid="{9D55B0DE-D9C3-4A19-A64F-F32300E9C390}">
      <text>
        <r>
          <rPr>
            <b/>
            <sz val="9"/>
            <color indexed="81"/>
            <rFont val="Tahoma"/>
            <family val="2"/>
          </rPr>
          <t>SELECT SUM(STALL_BP) AS VAL
FROM SVC_SERVICE_KPI_ELEMENT_DEALER A
    , CO_GROUP B
WHERE 1=1
AND B.GROUP_ID = A.UP_GROUP_ID
AND B.HOLDING_ID = 'DT00000'
AND YYYY_MM = '2023-01'</t>
        </r>
      </text>
    </comment>
    <comment ref="O19" authorId="0" shapeId="0" xr:uid="{FB102C10-F944-407B-9864-DBE4063E4697}">
      <text>
        <r>
          <rPr>
            <sz val="9"/>
            <color indexed="81"/>
            <rFont val="Tahoma"/>
            <family val="2"/>
          </rPr>
          <t>SELECT dealer_id
    , svc_kpi_code_amt
FROM dms_svc_kpi_resource a
WHERE 1=1
and a.dealer_id= 'DT00000'
and a.yyyymm= '202301'
and svc_kpi_code_type = 'DMS_BI_SVC001'
and svc_kpi_code = 'WORKING_DAY'</t>
        </r>
      </text>
    </comment>
    <comment ref="P19" authorId="0" shapeId="0" xr:uid="{BA760E06-5B6C-40D0-B7FE-A6F69CF3AEA1}">
      <text>
        <r>
          <rPr>
            <b/>
            <sz val="9"/>
            <color indexed="81"/>
            <rFont val="Tahoma"/>
            <family val="2"/>
          </rPr>
          <t xml:space="preserve">    SELECT a.dealer_id
        , sum(a.svc_kpi_code_amt) as amt
    FROM dms_svc_kpi_resource a
    WHERE 1=1
    and a.dealer_id= 'DT00000'
    and a.yyyymm= '202301'
    and svc_kpi_code_type = 'DMS_BI_SVC002'
    and svc_kpi_code = 'SVC_BP_STALL'
    group by a.dealer_id</t>
        </r>
      </text>
    </comment>
    <comment ref="M20" authorId="0" shapeId="0" xr:uid="{CE7EB489-B45E-4D20-A099-9DCBF9501B1D}">
      <text>
        <r>
          <rPr>
            <b/>
            <sz val="9"/>
            <color indexed="81"/>
            <rFont val="Tahoma"/>
            <family val="2"/>
          </rPr>
          <t>SELECT  NVL(SUM(A.OWN_8CNT),0) + NVL(SUM(A.OTHER_8CNT),0) AS Active_Cust
FROM    (
        SELECT  A.SALES_HID
                , A.VIN
                , MAX(A.OWN_8CNT) OWN_8CNT
                , DECODE(MAX(A.OWN_8CNT),0,MAX(A.OTHER_8CNT),0) OTHER_8CNT
        FROM    (    
                SELECT  A.SALES_HID, A.VIN
                        , CASE WHEN A.SERVICE_HID=A.SALES_HID THEN 1 ELSE 0 END AS OWN_8CNT
                        , CASE WHEN A.SERVICE_HID!=A.SALES_HID THEN 1 ELSE 0 END AS OTHER_8CNT
                FROM    (    
                        SELECT  DISTINCT C.HOLDING_ID AS SERVICE_HID, DECODE(D.HOLDING_ID,'SK00000','DT00000',D.HOLDING_ID) AS SALES_HID, A.VIN, A.CLOSE_YYYYMM, E.LAST_RETAIL_SALES_DT
                        FROM    SVC_CLOSE_TRAFFIC_LEGACY A
                                , CO_VEHIC B
                                , CO_GROUP C
                                , CO_GROUP D
                                , OM_CONTRACT E
                        WHERE   A.REPAIR_TYPE_CD='1'
                        AND     A.CLOSE_DT BETWEEN TO_CHAR(ADD_MONTHS(TRUNC(TO_DATE('202301','YYYYMM'),'MONTH'),-11),'YYYYMMDD') AND TO_CHAR(LAST_DAY(TO_DATE('202301','YYYYMM')),'YYYYMMDD')
                        AND     A.VIN=B.VIN
                        AND     A.VIN=E.VIN
                        AND     A.SHOP_CD=C.GROUP_ID
                        AND     B.SALES_DEALER_ID=D.GROUP_ID
                        AND     B.LINEOFF_DT IS NOT NULL
                        AND     TO_CHAR(TO_DATE(LAST_RETAIL_SALES_DT, 'YYYY-MM-DD HH24:MI:SS'), 'YYYYMMDD') BETWEEN TO_CHAR(ADD_MONTHS(TO_DATE('202301' , 'YYYYMM'), -95), 'YYYYMMDD')
                        AND     LAST_DAY(TO_CHAR(ADD_MONTHS(TO_DATE('202301' , 'YYYYMM'), 0), 'YYYYMMDD'))
                        AND     TO_CHAR(TO_DATE(LAST_RETAIL_SALES_DT, 'YYYY-MM-DD HH24:MI:SS'), 'YYYYMMDD') BETWEEN TO_CHAR(ADD_MONTHS(TO_DATE('202301', 'YYYYMM'), -95), 'YYYYMMDD')
                        AND     LAST_DAY(TO_CHAR(ADD_MONTHS(TO_DATE(A.CLOSE_YYYYMM, 'YYYYMM'), 0), 'YYYYMMDD'))
                        ) A
                  WHERE     A.SALES_HID='DT00000'  
                ) A                
        GROUP BY A.SALES_HID, A.VIN
        ) A
WHERE   1=1</t>
        </r>
      </text>
    </comment>
    <comment ref="N20" authorId="0" shapeId="0" xr:uid="{4BBD97A3-DD6E-4CFE-9D03-155B207F09EC}">
      <text>
        <r>
          <rPr>
            <b/>
            <sz val="9"/>
            <color indexed="81"/>
            <rFont val="Tahoma"/>
            <family val="2"/>
          </rPr>
          <t>SELECT COUNT(*)
FROM OM_CONTRACT A
    , CO_GROUP B
WHERE 1=1
AND A.DEALER_ID=B.GROUP_ID
AND A.CONTRACT_STAT_CD='D4'
AND B.HOLDING_ID = 'DT00000'  
AND TO_CHAR(TO_DATE(LAST_RETAIL_SALES_DT, 'YYYY-MM-DD HH24:MI:SS'), 'YYYYMMDD') BETWEEN TO_CHAR(ADD_MONTHS(TO_DATE('202301' , 'YYYYMM'), -95), 'YYYYMMDD')
                                                                                AND     LAST_DAY(TO_CHAR(ADD_MONTHS(TO_DATE('202301' , 'YYYYMM'), 0), 'YYYYMMDD'))</t>
        </r>
      </text>
    </comment>
    <comment ref="O20" authorId="0" shapeId="0" xr:uid="{54DAC65A-55E4-4E7D-B565-3D6FBAD755B7}">
      <text>
        <r>
          <rPr>
            <b/>
            <sz val="9"/>
            <color indexed="81"/>
            <rFont val="Tahoma"/>
            <family val="2"/>
          </rPr>
          <t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to_date('202301', 'YYYYMMDD') - interval '95 MONTH'
                        AND to_date('202301', 'YYYYMMDD') + INTERVAL '1 MONTH - 1 day'
    group by b.dealer_id
), active_8crt as (
    select a.dealer_id
        , coalesce(SUM(A.OWN_8CNT),0) + coalesce(SUM(A.OTHER_8CNT),0)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to_date('202301', 'YYYYMMDD') - interval '11 MONTH' AND to_date('202301',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to_date('202301', 'YYYYMMDD') - interval '95 MONTH'
                                        AND to_date('202301', 'YYYYMMDD') + INTERVAL '1 MONTH - 1 day'
                    AND RETAIL_SALES_DT BETWEEN A.RO_CLOSE_DT - interval '95 MONTH'
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</t>
        </r>
      </text>
    </comment>
    <comment ref="P20" authorId="0" shapeId="0" xr:uid="{55D72103-CA1A-48B1-A7A9-64D01DBE3954}">
      <text>
        <r>
          <rPr>
            <b/>
            <sz val="9"/>
            <color indexed="81"/>
            <rFont val="Tahoma"/>
            <family val="2"/>
          </rPr>
          <t xml:space="preserve"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to_date('202301', 'YYYYMMDD') - interval '95 MONTH'
                        AND to_date('202301', 'YYYYMMDD') + INTERVAL '1 MONTH - 1 day'
    group by b.dealer_id
), active_8crt as (
    select a.dealer_id
        , coalesce(SUM(A.OWN_8CNT),0) + coalesce(SUM(A.OTHER_8CNT),0)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to_date('202301', 'YYYYMMDD') - interval '11 MONTH' AND to_date('202301',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to_date('202301', 'YYYYMMDD') - interval '95 MONTH'
                                        AND to_date('202301', 'YYYYMMDD') + INTERVAL '1 MONTH - 1 day'
                    AND RETAIL_SALES_DT BETWEEN A.RO_CLOSE_DT - interval '95 MONTH'
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
</t>
        </r>
      </text>
    </comment>
    <comment ref="N21" authorId="0" shapeId="0" xr:uid="{F4F02FD2-4586-46A4-8BA7-FADBBF232A4A}">
      <text>
        <r>
          <rPr>
            <b/>
            <sz val="9"/>
            <color indexed="81"/>
            <rFont val="Tahoma"/>
            <family val="2"/>
          </rPr>
          <t>SELECT DATA_VL
FROM SA_KPI_BASE_INFO
WHERE 1=1
AND DEALER_ID = 'DT00000'
AND BASE_YM = '202301'
AND DATA_TYPE = 'SVC_D_ACR'</t>
        </r>
      </text>
    </comment>
    <comment ref="P21" authorId="0" shapeId="0" xr:uid="{9DBAFD40-55FE-49CA-952A-4D4101632643}">
      <text>
        <r>
          <rPr>
            <b/>
            <sz val="9"/>
            <color indexed="81"/>
            <rFont val="Tahoma"/>
            <family val="2"/>
          </rPr>
          <t>SELECT dealer_id
    , svc_kpi_code_amt
FROM dms_svc_kpi_resource a
WHERE 1=1
and a.dealer_id= 'DT00000'
and a.yyyymm= '202301'
and svc_kpi_code_type = 'DMS_BI_SVC001'
and svc_kpi_code = 'SVC_ACTIVE_CRT'</t>
        </r>
      </text>
    </comment>
    <comment ref="M22" authorId="0" shapeId="0" xr:uid="{CB84D4C7-991A-4422-B17E-64B35827C723}">
      <text>
        <r>
          <rPr>
            <b/>
            <sz val="9"/>
            <color indexed="81"/>
            <rFont val="Tahoma"/>
            <family val="2"/>
          </rPr>
          <t>SELECT  NVL(SUM(A.OWN_8CNT),0) + NVL(SUM(A.OTHER_8CNT),0) AS Active_Cust
FROM    (
        SELECT  A.SALES_HID
                , A.VIN
                , MAX(A.OWN_8CNT) OWN_8CNT
                , DECODE(MAX(A.OWN_8CNT),0,MAX(A.OTHER_8CNT),0) OTHER_8CNT
        FROM    (    
                SELECT  A.SALES_HID, A.VIN
                        , CASE WHEN A.SERVICE_HID=A.SALES_HID THEN 1 ELSE 0 END AS OWN_8CNT
                        , CASE WHEN A.SERVICE_HID!=A.SALES_HID THEN 1 ELSE 0 END AS OTHER_8CNT
                FROM    (    
                        SELECT  DISTINCT C.HOLDING_ID AS SERVICE_HID, DECODE(D.HOLDING_ID,'SK00000','DT00000',D.HOLDING_ID) AS SALES_HID, A.VIN, A.CLOSE_YYYYMM, E.LAST_RETAIL_SALES_DT
                        FROM    SVC_CLOSE_TRAFFIC_LEGACY A
                                , CO_VEHIC B
                                , CO_GROUP C
                                , CO_GROUP D
                                , OM_CONTRACT E
                        WHERE   A.REPAIR_TYPE_CD='1'
                        AND     A.CLOSE_DT BETWEEN TO_CHAR(ADD_MONTHS(TRUNC(TO_DATE('202301','YYYYMM'),'MONTH'),-11),'YYYYMMDD') AND TO_CHAR(LAST_DAY(TO_DATE('202301','YYYYMM')),'YYYYMMDD')
                        AND     A.VIN=B.VIN
                        AND     A.VIN=E.VIN
                        AND     A.SHOP_CD=C.GROUP_ID
                        AND     B.SALES_DEALER_ID=D.GROUP_ID
                        AND     B.LINEOFF_DT IS NOT NULL
                        AND     TO_CHAR(TO_DATE(LAST_RETAIL_SALES_DT, 'YYYY-MM-DD HH24:MI:SS'), 'YYYYMMDD') BETWEEN TO_CHAR(ADD_MONTHS(TO_DATE('202301' , 'YYYYMM'), -95), 'YYYYMMDD')
                        AND     LAST_DAY(TO_CHAR(ADD_MONTHS(TO_DATE('202301' , 'YYYYMM'), 0), 'YYYYMMDD'))
                        AND     TO_CHAR(TO_DATE(LAST_RETAIL_SALES_DT, 'YYYY-MM-DD HH24:MI:SS'), 'YYYYMMDD') BETWEEN TO_CHAR(ADD_MONTHS(TO_DATE('202301', 'YYYYMM'), -95), 'YYYYMMDD')
                        AND     LAST_DAY(TO_CHAR(ADD_MONTHS(TO_DATE(A.CLOSE_YYYYMM, 'YYYYMM'), 0), 'YYYYMMDD'))
                        ) A
                  WHERE     A.SALES_HID='DT00000'  
                ) A                
        GROUP BY A.SALES_HID, A.VIN
        ) A
WHERE   1=1</t>
        </r>
      </text>
    </comment>
    <comment ref="N22" authorId="0" shapeId="0" xr:uid="{8CC81131-4E57-47F1-A413-9EF3E44D47CA}">
      <text>
        <r>
          <rPr>
            <b/>
            <sz val="9"/>
            <color indexed="81"/>
            <rFont val="Tahoma"/>
            <family val="2"/>
          </rPr>
          <t>SELECT COUNT(*)
FROM OM_CONTRACT A
    , CO_GROUP B
WHERE 1=1
AND A.DEALER_ID=B.GROUP_ID
AND A.CONTRACT_STAT_CD='D4'
AND B.HOLDING_ID = 'DT00000'  
AND TO_CHAR(TO_DATE(LAST_RETAIL_SALES_DT, 'YYYY-MM-DD HH24:MI:SS'), 'YYYYMMDD') BETWEEN TO_CHAR(ADD_MONTHS(TO_DATE('202301' , 'YYYYMM'), -95), 'YYYYMMDD')
                                                                                AND     LAST_DAY(TO_CHAR(ADD_MONTHS(TO_DATE('202301' , 'YYYYMM'), 0), 'YYYYMMDD'))</t>
        </r>
      </text>
    </comment>
    <comment ref="O22" authorId="0" shapeId="0" xr:uid="{11BEFC90-6401-4845-89FE-8F9DBEC571EC}">
      <text>
        <r>
          <rPr>
            <b/>
            <sz val="9"/>
            <color indexed="81"/>
            <rFont val="Tahoma"/>
            <family val="2"/>
          </rPr>
          <t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to_date('202301', 'YYYYMMDD') - interval '95 MONTH'
                        AND to_date('202301', 'YYYYMMDD') + INTERVAL '1 MONTH - 1 day'
    group by b.dealer_id
), active_8crt as (
    select a.dealer_id
        , coalesce(SUM(A.OWN_8CNT),0) + coalesce(SUM(A.OTHER_8CNT),0)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to_date('202301', 'YYYYMMDD') - interval '11 MONTH' AND to_date('202301',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to_date('202301', 'YYYYMMDD') - interval '95 MONTH'
                                        AND to_date('202301', 'YYYYMMDD') + INTERVAL '1 MONTH - 1 day'
                    AND RETAIL_SALES_DT BETWEEN A.RO_CLOSE_DT - interval '95 MONTH'
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</t>
        </r>
      </text>
    </comment>
    <comment ref="P22" authorId="0" shapeId="0" xr:uid="{756AB374-8BCB-41F6-A4B0-83C5018192FF}">
      <text>
        <r>
          <rPr>
            <b/>
            <sz val="9"/>
            <color indexed="81"/>
            <rFont val="Tahoma"/>
            <family val="2"/>
          </rPr>
          <t xml:space="preserve"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to_date('202301', 'YYYYMMDD') - interval '95 MONTH'
                        AND to_date('202301', 'YYYYMMDD') + INTERVAL '1 MONTH - 1 day'
    group by b.dealer_id
), active_8crt as (
    select a.dealer_id
        , coalesce(SUM(A.OWN_8CNT),0) + coalesce(SUM(A.OTHER_8CNT),0)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to_date('202301', 'YYYYMMDD') - interval '11 MONTH' AND to_date('202301',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to_date('202301', 'YYYYMMDD') - interval '95 MONTH'
                                        AND to_date('202301', 'YYYYMMDD') + INTERVAL '1 MONTH - 1 day'
                    AND RETAIL_SALES_DT BETWEEN A.RO_CLOSE_DT - interval '95 MONTH'
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
</t>
        </r>
      </text>
    </comment>
    <comment ref="M29" authorId="0" shapeId="0" xr:uid="{194E0BE9-59EE-43AA-AC95-180947FBCF40}">
      <text>
        <r>
          <rPr>
            <sz val="9"/>
            <color indexed="81"/>
            <rFont val="Tahoma"/>
            <family val="2"/>
          </rPr>
          <t>WITH screen_input AS (
    SELECT'20230131' AS std_ymd
        , 'DT00000' AS std_dealer
    FROM dual 
), with_param AS(
    SELECT std_ymd
        , to_char(add_months(to_date(std_ymd, 'YYYYMMDD'),-12), 'YYYYMMDD') AS ly_std_ymd
        , substr( to_char(add_months(to_date(std_ymd, 'YYYYMMDD'),-12), 'YYYYMMDD') , 1, 6) AS ly_std_ym
        , std_dealer
    FROM screen_input
)
SELECT holding_id
    , sum(decode(std_type, 'TY', actual_cps, 0)) AS actual_cps
    , sum(decode(std_type, 'TY', actual_bps, 0)) AS actual_bps
FROM (
        SELECT
            'TY' AS std_type
            --</t>
        </r>
        <r>
          <rPr>
            <sz val="9"/>
            <color indexed="81"/>
            <rFont val="돋움"/>
            <family val="3"/>
            <charset val="129"/>
          </rPr>
          <t xml:space="preserve">올해
</t>
        </r>
        <r>
          <rPr>
            <sz val="9"/>
            <color indexed="81"/>
            <rFont val="Tahoma"/>
            <family val="2"/>
          </rPr>
          <t xml:space="preserve">            , b.holding_id
            , a.std_dt
            , sum(CASE WHEN type3_cd = '1130' THEN sales_amt ELSE 0 END) AS actual_cps
            , sum(CASE WHEN type3_cd = '2210' THEN sales_amt ELSE 0 END) AS actual_bps
        FROM svc_daily_sales_report a
            , co_group b
            , with_param p
        WHERE 1=1
        AND a.shop_cd = b.group_id
        AND b.holding_id = p.std_dealer
        AND a.type3_cd IN ('1130', '2210')
        AND a.std_dt = p.std_ymd
        GROUP BY b.holding_id
            , a.std_dt
    )
WHERE 1=1
GROUP BY holding_id</t>
        </r>
      </text>
    </comment>
    <comment ref="N29" authorId="0" shapeId="0" xr:uid="{37087BA8-ED0F-42B8-94F6-617A242374F7}">
      <text>
        <r>
          <rPr>
            <b/>
            <sz val="9"/>
            <color indexed="81"/>
            <rFont val="Tahoma"/>
            <family val="2"/>
          </rPr>
          <t>WITH screen_input AS (
    SELECT'20230131' AS std_ymd
        , 'DT00000' AS std_dealer
    FROM dual 
), with_param AS(
    SELECT std_ymd
        , std_dealer
    FROM screen_input
)
    SELECT
        holding_id
        , sum(decode(std_type, 'TY', actual_cpus, 0)) AS actual_cpus
        , sum(decode(std_type, 'TY', actual_bpus, 0)) AS actual_bpus
    FROM
        (
            SELECT
                'TY' AS std_type
    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    , b.holding_id
                , a.shop_cd
                , a.std_dt
                , nvl(a.fp, 0) + nvl(a.po, 0) + nvl(a.gr, 0) AS actual_cpus
                , nvl(a.bp, 0) AS actual_bpus
            FROM
                svc_daily_unit_report a
                , co_group b
                , with_param p
            WHERE
                a.shop_cd = b.group_id
                AND b.holding_id = p.std_dealer
                AND std_dt = p.std_ymd
        )
GROUP BY holding_id</t>
        </r>
      </text>
    </comment>
    <comment ref="O29" authorId="0" shapeId="0" xr:uid="{0CAAC50D-5370-44F7-89F7-0F4C4C56C700}">
      <text>
        <r>
          <rPr>
            <sz val="9"/>
            <color indexed="81"/>
            <rFont val="Tahoma"/>
            <family val="2"/>
          </rPr>
          <t>select a.dealer_id
    , sum(b.sales_amt)
from dms_svc_ro a
    left outer join dms_svc_ro_sales b
    on 1=1
    and a.group_id = b.group_id
    and a.propo_dt = b.propo_dt
    and a.propo_seq = b.propo_seq
where 1=1
and (ro_type_cd = 'F'
     or ro_type_cd = 'Y'
     or (a.repair_type_cd = '1' and ro_type_cd = 'I')
     or (a.repair_type_cd = '1' and ro_type_cd = 'G'))
and a.dealer_id = 'DT00000'
and b.sales_dt between to_date('20230101', 'yyyymmdd') and to_date('20230131', 'yyyymmdd')
and a.stat_cd != '99'
group BY a.dealer_id</t>
        </r>
      </text>
    </comment>
    <comment ref="P29" authorId="0" shapeId="0" xr:uid="{49E93C61-776F-49FE-B904-22979CF33C65}">
      <text>
        <r>
          <rPr>
            <sz val="9"/>
            <color indexed="81"/>
            <rFont val="Tahoma"/>
            <family val="2"/>
          </rPr>
          <t>SELECT a.dealer_id
    , count(*)
FROM dms_svc_ro a
WHERE 1=1
AND a.dealer_id = 'DT00000'
and a.repair_type_cd = '1'
AND a.propo_dt between '20230101' and '20230131'
AND ((a.ro_close_type_cd != 'BP' and a.ro_close_type_cd = 'FMS')
     or (a.ro_close_type_cd != 'BP' and a.ro_close_type_cd = 'PSP')
     or (a.ro_close_type_cd != 'BP' and a.ro_close_type_cd = 'GR')
     or (a.ro_close_type_cd != 'BP' and a.ro_close_type_cd = 'FMS_1K')
     or (a.ro_close_type_cd != 'BP' and a.ro_close_type_cd = 'PO')
     )
and a.stat_cd != '99'
group by a.dealer_id</t>
        </r>
      </text>
    </comment>
    <comment ref="M36" authorId="0" shapeId="0" xr:uid="{456B2097-44FC-4CFF-AF61-80ABFBD75EAC}">
      <text>
        <r>
          <rPr>
            <b/>
            <sz val="9"/>
            <color indexed="81"/>
            <rFont val="Tahoma"/>
            <family val="2"/>
          </rPr>
          <t>WITH screen_input AS (
    SELECT'20230131' AS std_ymd
        , 'DT00000' AS std_dealer
    FROM dual 
), with_param AS(
    SELECT std_ymd
        , to_char(add_months(to_date(std_ymd, 'YYYYMMDD'),-12), 'YYYYMMDD') AS ly_std_ymd
        , substr( to_char(add_months(to_date(std_ymd, 'YYYYMMDD'),-12), 'YYYYMMDD') , 1, 6) AS ly_std_ym
        , std_dealer
    FROM screen_input
)
SELECT holding_id
    , sum(decode(std_type, 'TY', actual_cps, 0)) AS actual_cps
    , sum(decode(std_type, 'TY', actual_bps, 0)) AS actual_bps
FROM (
        SELECT
            'TY' AS std_type
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, b.holding_id
            , a.std_dt
            , sum(CASE WHEN type3_cd = '1130' THEN sales_amt ELSE 0 END) AS actual_cps
            , sum(CASE WHEN type3_cd = '2210' THEN sales_amt ELSE 0 END) AS actual_bps
        FROM svc_daily_sales_report a
            , co_group b
            , with_param p
        WHERE 1=1
        AND a.shop_cd = b.group_id
        AND b.holding_id = p.std_dealer
        AND a.type3_cd IN ('1130', '2210')
        AND a.std_dt = p.std_ymd
        GROUP BY b.holding_id
            , a.std_dt
    )
WHERE 1=1
GROUP BY holding_id</t>
        </r>
      </text>
    </comment>
    <comment ref="N36" authorId="0" shapeId="0" xr:uid="{581FB097-7BAE-4AFC-A44C-2E1E59124495}">
      <text>
        <r>
          <rPr>
            <b/>
            <sz val="9"/>
            <color indexed="81"/>
            <rFont val="Tahoma"/>
            <family val="2"/>
          </rPr>
          <t>WITH screen_input AS (
    SELECT'20230131' AS std_ymd
        , 'DT00000' AS std_dealer
    FROM dual 
), with_param AS(
    SELECT std_ymd
        , std_dealer
    FROM screen_input
)
    SELECT
        holding_id
        , sum(decode(std_type, 'TY', actual_cpus, 0)) AS actual_cpus
        , sum(decode(std_type, 'TY', actual_bpus, 0)) AS actual_bpus
    FROM
        (
            SELECT
                'TY' AS std_type
    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    , b.holding_id
                , a.shop_cd
                , a.std_dt
                , nvl(a.fp, 0) + nvl(a.po, 0) + nvl(a.gr, 0) AS actual_cpus
                , nvl(a.bp, 0) AS actual_bpus
            FROM
                svc_daily_unit_report a
                , co_group b
                , with_param p
            WHERE
                a.shop_cd = b.group_id
                AND b.holding_id = p.std_dealer
                AND std_dt = p.std_ymd
        )
GROUP BY holding_id</t>
        </r>
      </text>
    </comment>
    <comment ref="O36" authorId="0" shapeId="0" xr:uid="{F6B4BF76-4585-4DA1-8CCE-C22FE2D208A6}">
      <text>
        <r>
          <rPr>
            <b/>
            <sz val="9"/>
            <color indexed="81"/>
            <rFont val="Tahoma"/>
            <family val="2"/>
          </rPr>
          <t>select a.dealer_id
    , sum(b.sales_amt)
from dms_svc_ro a
    left outer join dms_svc_ro_sales b
    on 1=1
    and a.group_id = b.group_id
    and a.propo_dt = b.propo_dt
    and a.propo_seq = b.propo_seq
where 1=1
and (a.repair_type_cd = '2' and ro_type_cd = 'I'
     or a.repair_type_cd = '2' and ro_type_cd = 'G')
and a.dealer_id = 'DT00000'
and b.sales_dt between to_date('20230101', 'yyyymmdd') and to_date('20230131', 'yyyymmdd')
and a.stat_cd != '99'
group by a.dealer_id</t>
        </r>
      </text>
    </comment>
    <comment ref="P36" authorId="0" shapeId="0" xr:uid="{036AD739-8BAA-4860-AEAA-D92B84E53F56}">
      <text>
        <r>
          <rPr>
            <b/>
            <sz val="9"/>
            <color indexed="81"/>
            <rFont val="Tahoma"/>
            <family val="2"/>
          </rPr>
          <t>SELECT a.dealer_id
    , count(*)
FROM dms_svc_ro a
WHERE 1=1
AND a.dealer_id = 'DT00000'
AND a.propo_dt between '20230101' and '20230131'
AND a.ro_close_type_cd = 'BP'
and a.stat_cd != '99'
group by a.dealer_id</t>
        </r>
      </text>
    </comment>
    <comment ref="M37" authorId="0" shapeId="0" xr:uid="{138F0F57-4A07-4129-B48D-6AAA5F7D0C0B}">
      <text>
        <r>
          <rPr>
            <b/>
            <sz val="9"/>
            <color indexed="81"/>
            <rFont val="Tahoma"/>
            <family val="2"/>
          </rPr>
          <t>WITH SCREEN_INPUT AS (
    SELECT  '202301' AS APP_YM
        , '202301' AS STD_YM
        , 'DT00000' AS HOLDING_ID
        , '' AS SHOP_CD 
    FROM DUAL
), WITH_PARAM AS (
    SELECT  REPLACE(APP_YM,'-') AS APP_YM
        , TO_CHAR(TO_DATE(REPLACE(APP_YM,'-'),'YYYYMM'),'YYYY') AS APP_YEAR
        , TO_CHAR(TRUNC(TO_DATE(REPLACE(APP_YM,'-'),'YYYYMM'),'YEAR'),'YYYYMM') AS APP_YEAR_SRT_MM
        , TO_CHAR(TRUNC(ADD_MONTHS(TO_DATE(REPLACE(APP_YM,'-'),'YYYYMM'),12),'YEAR')-1,'YYYYMM') AS APP_YEAR_END_MM
        , TO_CHAR(TRUNC(TO_DATE(REPLACE(APP_YM,'-'),'YYYYMM'),'YEAR'),'YYYYMMDD') AS APP_YEAR_SRT_YMD
        , TO_CHAR(TRUNC(ADD_MONTHS(TO_DATE(REPLACE(APP_YM,'-'),'YYYYMM'),12),'YEAR')-1,'YYYYMMDD') AS APP_YEAR_END_YMD
        , TO_NUMBER(TO_CHAR(TO_DATE(REPLACE(APP_YM,'-'),'YYYYMM'),'MM')) AS MONTH_CNT
        , TO_CHAR(ADD_MONTHS(TO_DATE(REPLACE(APP_YM,'-'),'YYYYMM'),-12),'YYYY') AS APP_PREV_YEAR
        , TO_CHAR(TRUNC(ADD_MONTHS(TO_DATE(REPLACE(APP_YM,'-'),'YYYYMM'),-12),'YEAR'),'YYYYMM') AS APP_PREV_YEAR_SRT_MM
        , TO_CHAR(TRUNC(TO_DATE(REPLACE(APP_YM,'-'),'YYYYMM'),'YEAR')-1,'YYYYMM') AS APP_PREV_YEAR_END_MM 
        , TO_CHAR(TRUNC(ADD_MONTHS(TO_DATE(REPLACE(APP_YM,'-'),'YYYYMM'),-12),'YEAR'),'YYYYMMDD') AS APP_PREV_YEAR_SRT_YMD
        , TO_CHAR(TRUNC(TO_DATE(REPLACE(APP_YM,'-'),'YYYYMM'),'YEAR')-1,'YYYYMMDD') AS APP_PREV_YEAR_END_YMD         
        , TO_CHAR(TRUNC(TO_DATE(REPLACE(APP_YM,'-'),'YYYYMM'),'YEAR'),'YYYY-MM-DD') AS APP_YEAR_SRT_YMD_DASH
        , TO_CHAR(LAST_DAY(TO_DATE(REPLACE(APP_YM,'-'),'YYYYMM')),'YYYY-MM-DD') AS APP_YEAR_END_YMD_DASH
        , TO_CHAR(TRUNC(TO_DATE(REPLACE(APP_YM,'-'),'YYYYMM'),'YEAR'),'YYYY-MM') AS APP_YEAR_SRT_YM_DASH
        , TO_CHAR(LAST_DAY(TO_DATE(REPLACE(APP_YM,'-'),'YYYYMM')),'YYYY-MM') AS APP_YEAR_END_YM_DASH
        , HOLDING_ID AS HOLDING_ID
        , SHOP_CD AS SHOP_CD         
    FROM SCREEN_INPUT
)
SELECT FM_CNT
    , PS_CNT
    , GR_CNT + PO_CNT
FROM (
    SELECT  NVL2(P.HOLDING_ID, A.HOLDING_ID, 'TT') AS HOLDING_ID
            , NVL2(P.SHOP_CD, A.SHOP_CD, 'TT') AS SHOP_CD
            , A.STD_MONTH
            , SUM(CASE WHEN BP_CNT &gt; 0 THEN 1 ELSE 0 END) BP_CNT
            , SUM(CASE WHEN BP_CNT=0 AND FM_CNT &gt; 0 THEN 1 ELSE 0 END) FM_CNT 
            , SUM(CASE WHEN BP_CNT=0 AND FM_CNT=0 AND PS_CNT &gt; 0 THEN 1 ELSE 0 END) PS_CNT
            , SUM(CASE WHEN BP_CNT=0 AND FM_CNT=0 AND PS_CNT=0 AND PO_CNT &gt; 0 THEN 1 ELSE 0 END) PO_CNT
            , SUM(CASE WHEN BP_CNT=0 AND FM_CNT=0 AND PS_CNT=0 AND PO_CNT=0 AND GR_CNT &gt; 0 THEN 1 ELSE 0 END) GR_CNT
            , SUM(CASE WHEN BP_CNT=0 AND FM_CNT=0 AND PS_CNT=0 AND PO_CNT=0 AND GR_CNT=0 AND WT_CNT &gt; 0 THEN 1 ELSE 0 END) WT_CNT
            , SUM(CASE WHEN BP_CNT=0 AND FM_CNT=0 AND PS_CNT=0 AND PO_CNT=0 AND GR_CNT=0 AND WT_CNT=0 AND IT_CNT &gt; 0 THEN 1 ELSE 0 END) IT_CNT
    FROM    (
            SELECT  A.HOLDING_ID
                    , A.SHOP_CD
                    , CASE WHEN SUBSTR(A.PROPO_DT,1,4)!= P.APP_YEAR THEN '00' ELSE SUBSTR(A.PROPO_DT,5,2) END STD_MONTH
                    , CASE WHEN NVL(A.REPAIR_TYPE_CD,1)='2' THEN 1 ELSE 0 END AS BP_CNT
                    , NVL((SELECT 1 FROM SVC_FRM_PART_VIEW10 WHERE SHOP_CD=A.SHOP_CD AND PROPO_DT=A.PROPO_DT AND PROPO_SEQ=A.PROPO_SEQ AND RO_TYPE_CD IN ('F') AND ROWNUM=1),0) AS FM_CNT
                    , NVL((SELECT 1 FROM SVC_FRM_PART_VIEW10 WHERE SHOP_CD=A.SHOP_CD AND PROPO_DT=A.PROPO_DT AND PROPO_SEQ=A.PROPO_SEQ AND RO_TYPE_CD IN ('Y') AND ROWNUM=1),0) AS PS_CNT
                    , NVL((SELECT 1 FROM SVC_FRM_PART_VIEW10 V, SVC_FRM F WHERE V.SHOP_CD=A.SHOP_CD AND  V.PROPO_DT=A.PROPO_DT AND  V.PROPO_SEQ=A.PROPO_SEQ AND V.FRM_NO=F.FRM_NO(+) AND V.RO_TYPE_CD IN ('I','G') AND V.SALE_AMT &gt; 0 AND NVL(F.WORK_TYPE_CD,'99999')='3' AND ROWNUM=1),0) AS PO_CNT
                    , NVL((SELECT 1 FROM SVC_FRM_PART_VIEW10 V, SVC_FRM F WHERE V.SHOP_CD=A.SHOP_CD AND  V.PROPO_DT=A.PROPO_DT AND  V.PROPO_SEQ=A.PROPO_SEQ AND V.FRM_NO=F.FRM_NO(+) AND V.RO_TYPE_CD IN ('I','G') AND V.CNFM_AMT &gt; 0 AND (V.SALE_AMT &lt;=  0 OR NVL(F.WORK_TYPE_CD,'99999')!='3') AND ROWNUM=1),0) AS GR_CNT
                    , NVL((SELECT 1 FROM SVC_FRM_PART_VIEW10 WHERE SHOP_CD=A.SHOP_CD AND PROPO_DT=A.PROPO_DT AND PROPO_SEQ=A.PROPO_SEQ AND RO_TYPE_CD IN ('W') AND ROWNUM=1),0) AS WT_CNT
                    , NVL((SELECT 1 FROM SVC_FRM_PART_VIEW10 WHERE SHOP_CD=A.SHOP_CD AND PROPO_DT=A.PROPO_DT AND PROPO_SEQ=A.PROPO_SEQ AND (RO_TYPE_CD='S' OR (RO_TYPE_CD='G' AND CNFM_AMT=0)) AND ROWNUM=1),0) AS IT_CNT
            FROM    (                    
                    SELECT  RANK() OVER(PARTITION BY A.SHOP_CD, A.PROPO_DT, A.VIN ORDER BY A.REPAIR_TYPE_CD DESC, A.PROPO_SEQ) AS RK
                            , C.HOLDING_ID AS HOLDING_ID
                            , C.GROUP_ID AS SHOP_CD 
                            , A.PROPO_DT
                            , A.PROPO_SEQ
                            , A.REPAIR_TYPE_CD  
                    FROM    SVC_PROPO A
                            , CO_VEHIC B
                            , CO_GROUP C
                            , WITH_PARAM P
                    WHERE   1=1
                    AND     A.PAYBACK_YN='N'
                    AND     A.STAT_CD!='99'
                    AND     A.SHOP_CD = C.GROUP_ID
                    AND     A.PROPO_DT BETWEEN P.APP_PREV_YEAR_SRT_YMD AND P.APP_YM||'31'
                    AND     A.VIN=B.VIN
                    AND     C.USE_YN = 'Y'
                    AND     C.GROUP_TYPE = 'P'
            ) A
            , WITH_PARAM P
            WHERE   RK = 1   
    ) A  
    , WITH_PARAM P
    WHERE   1=1
    AND     (P.HOLDING_ID IS NULL OR A.HOLDING_ID = P.HOLDING_ID)
    AND     (P.SHOP_CD IS NULL OR A.SHOP_CD = P.SHOP_CD)  
    GROUP BY NVL2(P.HOLDING_ID, A.HOLDING_ID, 'TT'), NVL2(P.SHOP_CD, A.SHOP_CD, 'TT'), A.STD_MONTH
)
WHERE 1=1
AND STD_MONTH != '00'</t>
        </r>
      </text>
    </comment>
    <comment ref="N37" authorId="0" shapeId="0" xr:uid="{155C4B47-2230-4FB0-B026-9CE121DDFD9F}">
      <text>
        <r>
          <rPr>
            <b/>
            <sz val="9"/>
            <color indexed="81"/>
            <rFont val="Tahoma"/>
            <family val="2"/>
          </rPr>
          <t>WITH screen_input AS (
    SELECT'20230131' AS std_ymd
        , 'DT00000' AS std_dealer
    FROM dual 
), with_param AS(
    SELECT std_ymd
        , std_dealer
    FROM screen_input
)
    SELECT
        holding_id
        , sum(decode(std_type, 'TY', actual_cpus, 0)) AS actual_cpus
        , sum(decode(std_type, 'TY', actual_bpus, 0)) AS actual_bpus
    FROM
        (
            SELECT
                'TY' AS std_type
    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    , b.holding_id
                , a.shop_cd
                , a.std_dt
                , nvl(a.fp, 0) + nvl(a.po, 0) + nvl(a.gr, 0) AS actual_cpus
                , nvl(a.bp, 0) AS actual_bpus
            FROM
                svc_daily_unit_report a
                , co_group b
                , with_param p
            WHERE
                a.shop_cd = b.group_id
                AND b.holding_id = p.std_dealer
                AND std_dt = p.std_ymd
        )
GROUP BY holding_id</t>
        </r>
      </text>
    </comment>
    <comment ref="O37" authorId="0" shapeId="0" xr:uid="{D2B32A0F-A996-42C8-9863-FDB3D3944691}">
      <text>
        <r>
          <rPr>
            <b/>
            <sz val="9"/>
            <color indexed="81"/>
            <rFont val="Tahoma"/>
            <family val="2"/>
          </rPr>
          <t>SELECT a.dealer_id
    , count(*)
FROM dms_svc_ro a
WHERE 1=1
AND a.dealer_id = 'DT00000'
and a.repair_type_cd = '1'
AND a.propo_dt between '20230101' and '20230131'
AND ((a.ro_close_type_cd != 'BP' and a.ro_close_type_cd = 'FMS')
     or (a.ro_close_type_cd != 'BP' and a.ro_close_type_cd = 'FMS_1K')
     )
and a.stat_cd != '99'
group by a.dealer_id</t>
        </r>
      </text>
    </comment>
    <comment ref="P37" authorId="0" shapeId="0" xr:uid="{60D5DCDE-14DA-4B2A-B2E1-A8FE99C66DD9}">
      <text>
        <r>
          <rPr>
            <b/>
            <sz val="9"/>
            <color indexed="81"/>
            <rFont val="Tahoma"/>
            <family val="2"/>
          </rPr>
          <t>SELECT a.dealer_id
    , count(*)
FROM dms_svc_ro a
WHERE 1=1
AND a.dealer_id = 'DT00000'
and a.repair_type_cd = '1'
AND a.propo_dt between '20230101' and '20230131'
AND ((a.ro_close_type_cd != 'BP' and a.ro_close_type_cd = 'FMS')
     or (a.ro_close_type_cd != 'BP' and a.ro_close_type_cd = 'PSP')
     or (a.ro_close_type_cd != 'BP' and a.ro_close_type_cd = 'GR')
     or (a.ro_close_type_cd != 'BP' and a.ro_close_type_cd = 'FMS_1K')
     or (a.ro_close_type_cd != 'BP' and a.ro_close_type_cd = 'PO')
     )
and a.stat_cd != '99'
group by a.dealer_id</t>
        </r>
      </text>
    </comment>
    <comment ref="M38" authorId="0" shapeId="0" xr:uid="{F2A12F63-20AF-4339-AF22-3680052974D0}">
      <text>
        <r>
          <rPr>
            <b/>
            <sz val="9"/>
            <color indexed="81"/>
            <rFont val="Tahoma"/>
            <family val="2"/>
          </rPr>
          <t>WITH SCREEN_INPUT AS (
    SELECT  '202201' AS APP_YM
        , '202301' AS STD_YM
        , 'DT00000' AS HOLDING_ID
        , '' AS SHOP_CD 
    FROM DUAL
), WITH_PARAM AS (
    SELECT  REPLACE(APP_YM,'-') AS APP_YM
        , TO_CHAR(TO_DATE(REPLACE(APP_YM,'-'),'YYYYMM'),'YYYY') AS APP_YEAR
        , TO_CHAR(TRUNC(TO_DATE(REPLACE(APP_YM,'-'),'YYYYMM'),'YEAR'),'YYYYMM') AS APP_YEAR_SRT_MM
        , TO_CHAR(TRUNC(ADD_MONTHS(TO_DATE(REPLACE(APP_YM,'-'),'YYYYMM'),12),'YEAR')-1,'YYYYMM') AS APP_YEAR_END_MM
        , TO_CHAR(TRUNC(TO_DATE(REPLACE(APP_YM,'-'),'YYYYMM'),'YEAR'),'YYYYMMDD') AS APP_YEAR_SRT_YMD
        , TO_CHAR(TRUNC(ADD_MONTHS(TO_DATE(REPLACE(APP_YM,'-'),'YYYYMM'),12),'YEAR')-1,'YYYYMMDD') AS APP_YEAR_END_YMD
        , TO_NUMBER(TO_CHAR(TO_DATE(REPLACE(APP_YM,'-'),'YYYYMM'),'MM')) AS MONTH_CNT
        , TO_CHAR(ADD_MONTHS(TO_DATE(REPLACE(APP_YM,'-'),'YYYYMM'),-12),'YYYY') AS APP_PREV_YEAR
        , TO_CHAR(TRUNC(ADD_MONTHS(TO_DATE(REPLACE(APP_YM,'-'),'YYYYMM'),-12),'YEAR'),'YYYYMM') AS APP_PREV_YEAR_SRT_MM
        , TO_CHAR(TRUNC(TO_DATE(REPLACE(APP_YM,'-'),'YYYYMM'),'YEAR')-1,'YYYYMM') AS APP_PREV_YEAR_END_MM 
        , TO_CHAR(TRUNC(ADD_MONTHS(TO_DATE(REPLACE(APP_YM,'-'),'YYYYMM'),-12),'YEAR'),'YYYYMMDD') AS APP_PREV_YEAR_SRT_YMD
        , TO_CHAR(TRUNC(TO_DATE(REPLACE(APP_YM,'-'),'YYYYMM'),'YEAR')-1,'YYYYMMDD') AS APP_PREV_YEAR_END_YMD         
        , TO_CHAR(TRUNC(TO_DATE(REPLACE(APP_YM,'-'),'YYYYMM'),'YEAR'),'YYYY-MM-DD') AS APP_YEAR_SRT_YMD_DASH
        , TO_CHAR(LAST_DAY(TO_DATE(REPLACE(APP_YM,'-'),'YYYYMM')),'YYYY-MM-DD') AS APP_YEAR_END_YMD_DASH
        , TO_CHAR(TRUNC(TO_DATE(REPLACE(APP_YM,'-'),'YYYYMM'),'YEAR'),'YYYY-MM') AS APP_YEAR_SRT_YM_DASH
        , TO_CHAR(LAST_DAY(TO_DATE(REPLACE(APP_YM,'-'),'YYYYMM')),'YYYY-MM') AS APP_YEAR_END_YM_DASH
        , HOLDING_ID AS HOLDING_ID
        , SHOP_CD AS SHOP_CD         
    FROM SCREEN_INPUT
)
SELECT FM_CNT
    , PS_CNT
    , GR_CNT + PO_CNT
FROM (
    SELECT  NVL2(P.HOLDING_ID, A.HOLDING_ID, 'TT') AS HOLDING_ID
            , NVL2(P.SHOP_CD, A.SHOP_CD, 'TT') AS SHOP_CD
            , A.STD_MONTH
            , SUM(CASE WHEN BP_CNT &gt; 0 THEN 1 ELSE 0 END) BP_CNT
            , SUM(CASE WHEN BP_CNT=0 AND FM_CNT &gt; 0 THEN 1 ELSE 0 END) FM_CNT 
            , SUM(CASE WHEN BP_CNT=0 AND FM_CNT=0 AND PS_CNT &gt; 0 THEN 1 ELSE 0 END) PS_CNT
            , SUM(CASE WHEN BP_CNT=0 AND FM_CNT=0 AND PS_CNT=0 AND PO_CNT &gt; 0 THEN 1 ELSE 0 END) PO_CNT
            , SUM(CASE WHEN BP_CNT=0 AND FM_CNT=0 AND PS_CNT=0 AND PO_CNT=0 AND GR_CNT &gt; 0 THEN 1 ELSE 0 END) GR_CNT
            , SUM(CASE WHEN BP_CNT=0 AND FM_CNT=0 AND PS_CNT=0 AND PO_CNT=0 AND GR_CNT=0 AND WT_CNT &gt; 0 THEN 1 ELSE 0 END) WT_CNT
            , SUM(CASE WHEN BP_CNT=0 AND FM_CNT=0 AND PS_CNT=0 AND PO_CNT=0 AND GR_CNT=0 AND WT_CNT=0 AND IT_CNT &gt; 0 THEN 1 ELSE 0 END) IT_CNT
    FROM    (
            SELECT  A.HOLDING_ID
                    , A.SHOP_CD
                    , CASE WHEN SUBSTR(A.PROPO_DT,1,4)!= P.APP_YEAR THEN '00' ELSE SUBSTR(A.PROPO_DT,5,2) END STD_MONTH
                    , CASE WHEN NVL(A.REPAIR_TYPE_CD,1)='2' THEN 1 ELSE 0 END AS BP_CNT
                    , NVL((SELECT 1 FROM SVC_FRM_PART_VIEW10 WHERE SHOP_CD=A.SHOP_CD AND PROPO_DT=A.PROPO_DT AND PROPO_SEQ=A.PROPO_SEQ AND RO_TYPE_CD IN ('F') AND ROWNUM=1),0) AS FM_CNT
                    , NVL((SELECT 1 FROM SVC_FRM_PART_VIEW10 WHERE SHOP_CD=A.SHOP_CD AND PROPO_DT=A.PROPO_DT AND PROPO_SEQ=A.PROPO_SEQ AND RO_TYPE_CD IN ('Y') AND ROWNUM=1),0) AS PS_CNT
                    , NVL((SELECT 1 FROM SVC_FRM_PART_VIEW10 V, SVC_FRM F WHERE V.SHOP_CD=A.SHOP_CD AND  V.PROPO_DT=A.PROPO_DT AND  V.PROPO_SEQ=A.PROPO_SEQ AND V.FRM_NO=F.FRM_NO(+) AND V.RO_TYPE_CD IN ('I','G') AND V.SALE_AMT &gt; 0 AND NVL(F.WORK_TYPE_CD,'99999')='3' AND ROWNUM=1),0) AS PO_CNT
                    , NVL((SELECT 1 FROM SVC_FRM_PART_VIEW10 V, SVC_FRM F WHERE V.SHOP_CD=A.SHOP_CD AND  V.PROPO_DT=A.PROPO_DT AND  V.PROPO_SEQ=A.PROPO_SEQ AND V.FRM_NO=F.FRM_NO(+) AND V.RO_TYPE_CD IN ('I','G') AND V.CNFM_AMT &gt; 0 AND (V.SALE_AMT &lt;=  0 OR NVL(F.WORK_TYPE_CD,'99999')!='3') AND ROWNUM=1),0) AS GR_CNT
                    , NVL((SELECT 1 FROM SVC_FRM_PART_VIEW10 WHERE SHOP_CD=A.SHOP_CD AND PROPO_DT=A.PROPO_DT AND PROPO_SEQ=A.PROPO_SEQ AND RO_TYPE_CD IN ('W') AND ROWNUM=1),0) AS WT_CNT
                    , NVL((SELECT 1 FROM SVC_FRM_PART_VIEW10 WHERE SHOP_CD=A.SHOP_CD AND PROPO_DT=A.PROPO_DT AND PROPO_SEQ=A.PROPO_SEQ AND (RO_TYPE_CD='S' OR (RO_TYPE_CD='G' AND CNFM_AMT=0)) AND ROWNUM=1),0) AS IT_CNT
            FROM    (                    
                    SELECT  RANK() OVER(PARTITION BY A.SHOP_CD, A.PROPO_DT, A.VIN ORDER BY A.REPAIR_TYPE_CD DESC, A.PROPO_SEQ) AS RK
                            , C.HOLDING_ID AS HOLDING_ID
                            , C.GROUP_ID AS SHOP_CD 
                            , A.PROPO_DT
                            , A.PROPO_SEQ
                            , A.REPAIR_TYPE_CD  
                    FROM    SVC_PROPO A
                            , CO_VEHIC B
                            , CO_GROUP C
                            , WITH_PARAM P
                    WHERE   1=1
                    AND     A.PAYBACK_YN='N'
                    AND     A.STAT_CD!='99'
                    AND     A.SHOP_CD = C.GROUP_ID
                    AND     A.PROPO_DT BETWEEN P.APP_PREV_YEAR_SRT_YMD AND P.APP_YM||'31'
                    AND     A.VIN=B.VIN
                    AND     C.USE_YN = 'Y'
                    AND     C.GROUP_TYPE = 'P'
            ) A
            , WITH_PARAM P
            WHERE   RK = 1   
    ) A  
    , WITH_PARAM P
    WHERE   1=1
    AND     (P.HOLDING_ID IS NULL OR A.HOLDING_ID = P.HOLDING_ID)
    AND     (P.SHOP_CD IS NULL OR A.SHOP_CD = P.SHOP_CD)  
    GROUP BY NVL2(P.HOLDING_ID, A.HOLDING_ID, 'TT'), NVL2(P.SHOP_CD, A.SHOP_CD, 'TT'), A.STD_MONTH
)
WHERE 1=1
AND STD_MONTH != '00'</t>
        </r>
      </text>
    </comment>
    <comment ref="N38" authorId="0" shapeId="0" xr:uid="{3F5EF296-FF43-49F0-9627-ED1743BF05C7}">
      <text>
        <r>
          <rPr>
            <b/>
            <sz val="9"/>
            <color indexed="81"/>
            <rFont val="Tahoma"/>
            <family val="2"/>
          </rPr>
          <t>WITH screen_input AS (
    SELECT'20220131' AS std_ymd
        , 'DT00000' AS std_dealer
    FROM dual 
), with_param AS(
    SELECT std_ymd
        , std_dealer
    FROM screen_input
)
    SELECT
        holding_id
        , sum(decode(std_type, 'TY', actual_cpus, 0)) AS actual_cpus
        , sum(decode(std_type, 'TY', actual_bpus, 0)) AS actual_bpus
    FROM
        (
            SELECT
                'TY' AS std_type
    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    , b.holding_id
                , a.shop_cd
                , a.std_dt
                , nvl(a.fp, 0) + nvl(a.po, 0) + nvl(a.gr, 0) AS actual_cpus
                , nvl(a.bp, 0) AS actual_bpus
            FROM
                svc_daily_unit_report a
                , co_group b
                , with_param p
            WHERE
                a.shop_cd = b.group_id
                AND b.holding_id = p.std_dealer
                AND std_dt = p.std_ymd
        )
GROUP BY holding_id</t>
        </r>
      </text>
    </comment>
    <comment ref="O38" authorId="0" shapeId="0" xr:uid="{7B74F08E-8E06-480A-BEAC-0B62C2649953}">
      <text>
        <r>
          <rPr>
            <b/>
            <sz val="9"/>
            <color indexed="81"/>
            <rFont val="Tahoma"/>
            <family val="2"/>
          </rPr>
          <t>SELECT a.dealer_id
    , count(*)
FROM dms_svc_ro a
WHERE 1=1
AND a.dealer_id = 'DT00000'
and a.repair_type_cd = '1'
AND a.propo_dt between '20220101' and '20220131'
AND ((a.ro_close_type_cd != 'BP' and a.ro_close_type_cd = 'FMS')
     or (a.ro_close_type_cd != 'BP' and a.ro_close_type_cd = 'FMS_1K')
     )
and a.stat_cd != '99'
group by a.dealer_id</t>
        </r>
      </text>
    </comment>
    <comment ref="P38" authorId="0" shapeId="0" xr:uid="{ED870AA1-74B4-4E40-BCF0-D0CD870AF729}">
      <text>
        <r>
          <rPr>
            <b/>
            <sz val="9"/>
            <color indexed="81"/>
            <rFont val="Tahoma"/>
            <family val="2"/>
          </rPr>
          <t>SELECT a.dealer_id
    , count(*)
FROM dms_svc_ro a
WHERE 1=1
AND a.dealer_id = 'DT00000'
and a.repair_type_cd = '1'
AND a.propo_dt between '20220101' and '20220131'
AND ((a.ro_close_type_cd != 'BP' and a.ro_close_type_cd = 'FMS')
     or (a.ro_close_type_cd != 'BP' and a.ro_close_type_cd = 'PSP')
     or (a.ro_close_type_cd != 'BP' and a.ro_close_type_cd = 'GR')
     or (a.ro_close_type_cd != 'BP' and a.ro_close_type_cd = 'FMS_1K')
     or (a.ro_close_type_cd != 'BP' and a.ro_close_type_cd = 'PO')
     )
and a.stat_cd != '99'
group by a.dealer_id</t>
        </r>
      </text>
    </comment>
    <comment ref="M39" authorId="0" shapeId="0" xr:uid="{DE1DD872-5257-4B9D-ADBD-5C35E07B8E23}">
      <text>
        <r>
          <rPr>
            <b/>
            <sz val="9"/>
            <color indexed="81"/>
            <rFont val="Tahoma"/>
            <family val="2"/>
          </rPr>
          <t>WITH SCREEN_INPUT AS (
    SELECT  '202301' AS APP_YM
        , '202301' AS STD_YM
        , 'DT00000' AS HOLDING_ID
        , '' AS SHOP_CD 
    FROM DUAL
), WITH_PARAM AS (
    SELECT  REPLACE(APP_YM,'-') AS APP_YM
        , TO_CHAR(TO_DATE(REPLACE(APP_YM,'-'),'YYYYMM'),'YYYY') AS APP_YEAR
        , TO_CHAR(TRUNC(TO_DATE(REPLACE(APP_YM,'-'),'YYYYMM'),'YEAR'),'YYYYMM') AS APP_YEAR_SRT_MM
        , TO_CHAR(TRUNC(ADD_MONTHS(TO_DATE(REPLACE(APP_YM,'-'),'YYYYMM'),12),'YEAR')-1,'YYYYMM') AS APP_YEAR_END_MM
        , TO_CHAR(TRUNC(TO_DATE(REPLACE(APP_YM,'-'),'YYYYMM'),'YEAR'),'YYYYMMDD') AS APP_YEAR_SRT_YMD
        , TO_CHAR(TRUNC(ADD_MONTHS(TO_DATE(REPLACE(APP_YM,'-'),'YYYYMM'),12),'YEAR')-1,'YYYYMMDD') AS APP_YEAR_END_YMD
        , TO_NUMBER(TO_CHAR(TO_DATE(REPLACE(APP_YM,'-'),'YYYYMM'),'MM')) AS MONTH_CNT
        , TO_CHAR(ADD_MONTHS(TO_DATE(REPLACE(APP_YM,'-'),'YYYYMM'),-12),'YYYY') AS APP_PREV_YEAR
        , TO_CHAR(TRUNC(ADD_MONTHS(TO_DATE(REPLACE(APP_YM,'-'),'YYYYMM'),-12),'YEAR'),'YYYYMM') AS APP_PREV_YEAR_SRT_MM
        , TO_CHAR(TRUNC(TO_DATE(REPLACE(APP_YM,'-'),'YYYYMM'),'YEAR')-1,'YYYYMM') AS APP_PREV_YEAR_END_MM 
        , TO_CHAR(TRUNC(ADD_MONTHS(TO_DATE(REPLACE(APP_YM,'-'),'YYYYMM'),-12),'YEAR'),'YYYYMMDD') AS APP_PREV_YEAR_SRT_YMD
        , TO_CHAR(TRUNC(TO_DATE(REPLACE(APP_YM,'-'),'YYYYMM'),'YEAR')-1,'YYYYMMDD') AS APP_PREV_YEAR_END_YMD         
        , TO_CHAR(TRUNC(TO_DATE(REPLACE(APP_YM,'-'),'YYYYMM'),'YEAR'),'YYYY-MM-DD') AS APP_YEAR_SRT_YMD_DASH
        , TO_CHAR(LAST_DAY(TO_DATE(REPLACE(APP_YM,'-'),'YYYYMM')),'YYYY-MM-DD') AS APP_YEAR_END_YMD_DASH
        , TO_CHAR(TRUNC(TO_DATE(REPLACE(APP_YM,'-'),'YYYYMM'),'YEAR'),'YYYY-MM') AS APP_YEAR_SRT_YM_DASH
        , TO_CHAR(LAST_DAY(TO_DATE(REPLACE(APP_YM,'-'),'YYYYMM')),'YYYY-MM') AS APP_YEAR_END_YM_DASH
        , HOLDING_ID AS HOLDING_ID
        , SHOP_CD AS SHOP_CD         
    FROM SCREEN_INPUT
)
SELECT FM_CNT
    , PS_CNT
    , GR_CNT + PO_CNT
FROM (
    SELECT  NVL2(P.HOLDING_ID, A.HOLDING_ID, 'TT') AS HOLDING_ID
            , NVL2(P.SHOP_CD, A.SHOP_CD, 'TT') AS SHOP_CD
            , A.STD_MONTH
            , SUM(CASE WHEN BP_CNT &gt; 0 THEN 1 ELSE 0 END) BP_CNT
            , SUM(CASE WHEN BP_CNT=0 AND FM_CNT &gt; 0 THEN 1 ELSE 0 END) FM_CNT 
            , SUM(CASE WHEN BP_CNT=0 AND FM_CNT=0 AND PS_CNT &gt; 0 THEN 1 ELSE 0 END) PS_CNT
            , SUM(CASE WHEN BP_CNT=0 AND FM_CNT=0 AND PS_CNT=0 AND PO_CNT &gt; 0 THEN 1 ELSE 0 END) PO_CNT
            , SUM(CASE WHEN BP_CNT=0 AND FM_CNT=0 AND PS_CNT=0 AND PO_CNT=0 AND GR_CNT &gt; 0 THEN 1 ELSE 0 END) GR_CNT
            , SUM(CASE WHEN BP_CNT=0 AND FM_CNT=0 AND PS_CNT=0 AND PO_CNT=0 AND GR_CNT=0 AND WT_CNT &gt; 0 THEN 1 ELSE 0 END) WT_CNT
            , SUM(CASE WHEN BP_CNT=0 AND FM_CNT=0 AND PS_CNT=0 AND PO_CNT=0 AND GR_CNT=0 AND WT_CNT=0 AND IT_CNT &gt; 0 THEN 1 ELSE 0 END) IT_CNT
    FROM    (
            SELECT  A.HOLDING_ID
                    , A.SHOP_CD
                    , CASE WHEN SUBSTR(A.PROPO_DT,1,4)!= P.APP_YEAR THEN '00' ELSE SUBSTR(A.PROPO_DT,5,2) END STD_MONTH
                    , CASE WHEN NVL(A.REPAIR_TYPE_CD,1)='2' THEN 1 ELSE 0 END AS BP_CNT
                    , NVL((SELECT 1 FROM SVC_FRM_PART_VIEW10 WHERE SHOP_CD=A.SHOP_CD AND PROPO_DT=A.PROPO_DT AND PROPO_SEQ=A.PROPO_SEQ AND RO_TYPE_CD IN ('F') AND ROWNUM=1),0) AS FM_CNT
                    , NVL((SELECT 1 FROM SVC_FRM_PART_VIEW10 WHERE SHOP_CD=A.SHOP_CD AND PROPO_DT=A.PROPO_DT AND PROPO_SEQ=A.PROPO_SEQ AND RO_TYPE_CD IN ('Y') AND ROWNUM=1),0) AS PS_CNT
                    , NVL((SELECT 1 FROM SVC_FRM_PART_VIEW10 V, SVC_FRM F WHERE V.SHOP_CD=A.SHOP_CD AND  V.PROPO_DT=A.PROPO_DT AND  V.PROPO_SEQ=A.PROPO_SEQ AND V.FRM_NO=F.FRM_NO(+) AND V.RO_TYPE_CD IN ('I','G') AND V.SALE_AMT &gt; 0 AND NVL(F.WORK_TYPE_CD,'99999')='3' AND ROWNUM=1),0) AS PO_CNT
                    , NVL((SELECT 1 FROM SVC_FRM_PART_VIEW10 V, SVC_FRM F WHERE V.SHOP_CD=A.SHOP_CD AND  V.PROPO_DT=A.PROPO_DT AND  V.PROPO_SEQ=A.PROPO_SEQ AND V.FRM_NO=F.FRM_NO(+) AND V.RO_TYPE_CD IN ('I','G') AND V.CNFM_AMT &gt; 0 AND (V.SALE_AMT &lt;=  0 OR NVL(F.WORK_TYPE_CD,'99999')!='3') AND ROWNUM=1),0) AS GR_CNT
                    , NVL((SELECT 1 FROM SVC_FRM_PART_VIEW10 WHERE SHOP_CD=A.SHOP_CD AND PROPO_DT=A.PROPO_DT AND PROPO_SEQ=A.PROPO_SEQ AND RO_TYPE_CD IN ('W') AND ROWNUM=1),0) AS WT_CNT
                    , NVL((SELECT 1 FROM SVC_FRM_PART_VIEW10 WHERE SHOP_CD=A.SHOP_CD AND PROPO_DT=A.PROPO_DT AND PROPO_SEQ=A.PROPO_SEQ AND (RO_TYPE_CD='S' OR (RO_TYPE_CD='G' AND CNFM_AMT=0)) AND ROWNUM=1),0) AS IT_CNT
            FROM    (                    
                    SELECT  RANK() OVER(PARTITION BY A.SHOP_CD, A.PROPO_DT, A.VIN ORDER BY A.REPAIR_TYPE_CD DESC, A.PROPO_SEQ) AS RK
                            , C.HOLDING_ID AS HOLDING_ID
                            , C.GROUP_ID AS SHOP_CD 
                            , A.PROPO_DT
                            , A.PROPO_SEQ
                            , A.REPAIR_TYPE_CD  
                    FROM    SVC_PROPO A
                            , CO_VEHIC B
                            , CO_GROUP C
                            , WITH_PARAM P
                    WHERE   1=1
                    AND     A.PAYBACK_YN='N'
                    AND     A.STAT_CD!='99'
                    AND     A.SHOP_CD = C.GROUP_ID
                    AND     A.PROPO_DT BETWEEN P.APP_PREV_YEAR_SRT_YMD AND P.APP_YM||'31'
                    AND     A.VIN=B.VIN
                    AND     C.USE_YN = 'Y'
                    AND     C.GROUP_TYPE = 'P'
            ) A
            , WITH_PARAM P
            WHERE   RK = 1   
    ) A  
    , WITH_PARAM P
    WHERE   1=1
    AND     (P.HOLDING_ID IS NULL OR A.HOLDING_ID = P.HOLDING_ID)
    AND     (P.SHOP_CD IS NULL OR A.SHOP_CD = P.SHOP_CD)  
    GROUP BY NVL2(P.HOLDING_ID, A.HOLDING_ID, 'TT'), NVL2(P.SHOP_CD, A.SHOP_CD, 'TT'), A.STD_MONTH
)
WHERE 1=1
AND STD_MONTH != '00'</t>
        </r>
      </text>
    </comment>
    <comment ref="N39" authorId="0" shapeId="0" xr:uid="{0FDEA19A-EEA3-418F-A51B-7185F64E9126}">
      <text>
        <r>
          <rPr>
            <b/>
            <sz val="9"/>
            <color indexed="81"/>
            <rFont val="Tahoma"/>
            <family val="2"/>
          </rPr>
          <t>WITH screen_input AS (
    SELECT'20230131' AS std_ymd
        , 'DT00000' AS std_dealer
    FROM dual 
), with_param AS(
    SELECT std_ymd
        , std_dealer
    FROM screen_input
)
    SELECT
        holding_id
        , sum(decode(std_type, 'TY', actual_cpus, 0)) AS actual_cpus
        , sum(decode(std_type, 'TY', actual_bpus, 0)) AS actual_bpus
    FROM
        (
            SELECT
                'TY' AS std_type
    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    , b.holding_id
                , a.shop_cd
                , a.std_dt
                , nvl(a.fp, 0) + nvl(a.po, 0) + nvl(a.gr, 0) AS actual_cpus
                , nvl(a.bp, 0) AS actual_bpus
            FROM
                svc_daily_unit_report a
                , co_group b
                , with_param p
            WHERE
                a.shop_cd = b.group_id
                AND b.holding_id = p.std_dealer
                AND std_dt = p.std_ymd
        )
GROUP BY holding_id</t>
        </r>
      </text>
    </comment>
    <comment ref="O39" authorId="0" shapeId="0" xr:uid="{9D017837-C68D-452F-B9E3-6035C9729338}">
      <text>
        <r>
          <rPr>
            <b/>
            <sz val="9"/>
            <color indexed="81"/>
            <rFont val="Tahoma"/>
            <family val="2"/>
          </rPr>
          <t>SELECT a.dealer_id
    , count(*)
FROM dms_svc_ro a
WHERE 1=1
AND a.dealer_id = 'DT00000'
and a.repair_type_cd = '1'
AND a.propo_dt between '20230101' and '20230131'
AND (a.ro_close_type_cd != 'BP' and a.ro_close_type_cd = 'PSP')
and a.stat_cd != '99'
group by a.dealer_id</t>
        </r>
      </text>
    </comment>
    <comment ref="P39" authorId="0" shapeId="0" xr:uid="{589276A3-C42D-4840-8275-24FEA990D44E}">
      <text>
        <r>
          <rPr>
            <b/>
            <sz val="9"/>
            <color indexed="81"/>
            <rFont val="Tahoma"/>
            <family val="2"/>
          </rPr>
          <t>SELECT a.dealer_id
    , count(*)
FROM dms_svc_ro a
WHERE 1=1
AND a.dealer_id = 'DT00000'
and a.repair_type_cd = '1'
AND a.propo_dt between '20230101' and '20230131'
AND ((a.ro_close_type_cd != 'BP' and a.ro_close_type_cd = 'FMS')
     or (a.ro_close_type_cd != 'BP' and a.ro_close_type_cd = 'PSP')
     or (a.ro_close_type_cd != 'BP' and a.ro_close_type_cd = 'GR')
     or (a.ro_close_type_cd != 'BP' and a.ro_close_type_cd = 'FMS_1K')
     or (a.ro_close_type_cd != 'BP' and a.ro_close_type_cd = 'PO')
     )
and a.stat_cd != '99'
group by a.dealer_id</t>
        </r>
      </text>
    </comment>
    <comment ref="M40" authorId="0" shapeId="0" xr:uid="{332A61D9-B3F9-4B8A-814E-BDDC0F8A2F55}">
      <text>
        <r>
          <rPr>
            <b/>
            <sz val="9"/>
            <color indexed="81"/>
            <rFont val="Tahoma"/>
            <family val="2"/>
          </rPr>
          <t>WITH SCREEN_INPUT AS (
    SELECT  '202201' AS APP_YM
        , '202301' AS STD_YM
        , 'DT00000' AS HOLDING_ID
        , '' AS SHOP_CD 
    FROM DUAL
), WITH_PARAM AS (
    SELECT  REPLACE(APP_YM,'-') AS APP_YM
        , TO_CHAR(TO_DATE(REPLACE(APP_YM,'-'),'YYYYMM'),'YYYY') AS APP_YEAR
        , TO_CHAR(TRUNC(TO_DATE(REPLACE(APP_YM,'-'),'YYYYMM'),'YEAR'),'YYYYMM') AS APP_YEAR_SRT_MM
        , TO_CHAR(TRUNC(ADD_MONTHS(TO_DATE(REPLACE(APP_YM,'-'),'YYYYMM'),12),'YEAR')-1,'YYYYMM') AS APP_YEAR_END_MM
        , TO_CHAR(TRUNC(TO_DATE(REPLACE(APP_YM,'-'),'YYYYMM'),'YEAR'),'YYYYMMDD') AS APP_YEAR_SRT_YMD
        , TO_CHAR(TRUNC(ADD_MONTHS(TO_DATE(REPLACE(APP_YM,'-'),'YYYYMM'),12),'YEAR')-1,'YYYYMMDD') AS APP_YEAR_END_YMD
        , TO_NUMBER(TO_CHAR(TO_DATE(REPLACE(APP_YM,'-'),'YYYYMM'),'MM')) AS MONTH_CNT
        , TO_CHAR(ADD_MONTHS(TO_DATE(REPLACE(APP_YM,'-'),'YYYYMM'),-12),'YYYY') AS APP_PREV_YEAR
        , TO_CHAR(TRUNC(ADD_MONTHS(TO_DATE(REPLACE(APP_YM,'-'),'YYYYMM'),-12),'YEAR'),'YYYYMM') AS APP_PREV_YEAR_SRT_MM
        , TO_CHAR(TRUNC(TO_DATE(REPLACE(APP_YM,'-'),'YYYYMM'),'YEAR')-1,'YYYYMM') AS APP_PREV_YEAR_END_MM 
        , TO_CHAR(TRUNC(ADD_MONTHS(TO_DATE(REPLACE(APP_YM,'-'),'YYYYMM'),-12),'YEAR'),'YYYYMMDD') AS APP_PREV_YEAR_SRT_YMD
        , TO_CHAR(TRUNC(TO_DATE(REPLACE(APP_YM,'-'),'YYYYMM'),'YEAR')-1,'YYYYMMDD') AS APP_PREV_YEAR_END_YMD         
        , TO_CHAR(TRUNC(TO_DATE(REPLACE(APP_YM,'-'),'YYYYMM'),'YEAR'),'YYYY-MM-DD') AS APP_YEAR_SRT_YMD_DASH
        , TO_CHAR(LAST_DAY(TO_DATE(REPLACE(APP_YM,'-'),'YYYYMM')),'YYYY-MM-DD') AS APP_YEAR_END_YMD_DASH
        , TO_CHAR(TRUNC(TO_DATE(REPLACE(APP_YM,'-'),'YYYYMM'),'YEAR'),'YYYY-MM') AS APP_YEAR_SRT_YM_DASH
        , TO_CHAR(LAST_DAY(TO_DATE(REPLACE(APP_YM,'-'),'YYYYMM')),'YYYY-MM') AS APP_YEAR_END_YM_DASH
        , HOLDING_ID AS HOLDING_ID
        , SHOP_CD AS SHOP_CD         
    FROM SCREEN_INPUT
)
SELECT FM_CNT
    , PS_CNT
    , GR_CNT + PO_CNT
FROM (
    SELECT  NVL2(P.HOLDING_ID, A.HOLDING_ID, 'TT') AS HOLDING_ID
            , NVL2(P.SHOP_CD, A.SHOP_CD, 'TT') AS SHOP_CD
            , A.STD_MONTH
            , SUM(CASE WHEN BP_CNT &gt; 0 THEN 1 ELSE 0 END) BP_CNT
            , SUM(CASE WHEN BP_CNT=0 AND FM_CNT &gt; 0 THEN 1 ELSE 0 END) FM_CNT 
            , SUM(CASE WHEN BP_CNT=0 AND FM_CNT=0 AND PS_CNT &gt; 0 THEN 1 ELSE 0 END) PS_CNT
            , SUM(CASE WHEN BP_CNT=0 AND FM_CNT=0 AND PS_CNT=0 AND PO_CNT &gt; 0 THEN 1 ELSE 0 END) PO_CNT
            , SUM(CASE WHEN BP_CNT=0 AND FM_CNT=0 AND PS_CNT=0 AND PO_CNT=0 AND GR_CNT &gt; 0 THEN 1 ELSE 0 END) GR_CNT
            , SUM(CASE WHEN BP_CNT=0 AND FM_CNT=0 AND PS_CNT=0 AND PO_CNT=0 AND GR_CNT=0 AND WT_CNT &gt; 0 THEN 1 ELSE 0 END) WT_CNT
            , SUM(CASE WHEN BP_CNT=0 AND FM_CNT=0 AND PS_CNT=0 AND PO_CNT=0 AND GR_CNT=0 AND WT_CNT=0 AND IT_CNT &gt; 0 THEN 1 ELSE 0 END) IT_CNT
    FROM    (
            SELECT  A.HOLDING_ID
                    , A.SHOP_CD
                    , CASE WHEN SUBSTR(A.PROPO_DT,1,4)!= P.APP_YEAR THEN '00' ELSE SUBSTR(A.PROPO_DT,5,2) END STD_MONTH
                    , CASE WHEN NVL(A.REPAIR_TYPE_CD,1)='2' THEN 1 ELSE 0 END AS BP_CNT
                    , NVL((SELECT 1 FROM SVC_FRM_PART_VIEW10 WHERE SHOP_CD=A.SHOP_CD AND PROPO_DT=A.PROPO_DT AND PROPO_SEQ=A.PROPO_SEQ AND RO_TYPE_CD IN ('F') AND ROWNUM=1),0) AS FM_CNT
                    , NVL((SELECT 1 FROM SVC_FRM_PART_VIEW10 WHERE SHOP_CD=A.SHOP_CD AND PROPO_DT=A.PROPO_DT AND PROPO_SEQ=A.PROPO_SEQ AND RO_TYPE_CD IN ('Y') AND ROWNUM=1),0) AS PS_CNT
                    , NVL((SELECT 1 FROM SVC_FRM_PART_VIEW10 V, SVC_FRM F WHERE V.SHOP_CD=A.SHOP_CD AND  V.PROPO_DT=A.PROPO_DT AND  V.PROPO_SEQ=A.PROPO_SEQ AND V.FRM_NO=F.FRM_NO(+) AND V.RO_TYPE_CD IN ('I','G') AND V.SALE_AMT &gt; 0 AND NVL(F.WORK_TYPE_CD,'99999')='3' AND ROWNUM=1),0) AS PO_CNT
                    , NVL((SELECT 1 FROM SVC_FRM_PART_VIEW10 V, SVC_FRM F WHERE V.SHOP_CD=A.SHOP_CD AND  V.PROPO_DT=A.PROPO_DT AND  V.PROPO_SEQ=A.PROPO_SEQ AND V.FRM_NO=F.FRM_NO(+) AND V.RO_TYPE_CD IN ('I','G') AND V.CNFM_AMT &gt; 0 AND (V.SALE_AMT &lt;=  0 OR NVL(F.WORK_TYPE_CD,'99999')!='3') AND ROWNUM=1),0) AS GR_CNT
                    , NVL((SELECT 1 FROM SVC_FRM_PART_VIEW10 WHERE SHOP_CD=A.SHOP_CD AND PROPO_DT=A.PROPO_DT AND PROPO_SEQ=A.PROPO_SEQ AND RO_TYPE_CD IN ('W') AND ROWNUM=1),0) AS WT_CNT
                    , NVL((SELECT 1 FROM SVC_FRM_PART_VIEW10 WHERE SHOP_CD=A.SHOP_CD AND PROPO_DT=A.PROPO_DT AND PROPO_SEQ=A.PROPO_SEQ AND (RO_TYPE_CD='S' OR (RO_TYPE_CD='G' AND CNFM_AMT=0)) AND ROWNUM=1),0) AS IT_CNT
            FROM    (                    
                    SELECT  RANK() OVER(PARTITION BY A.SHOP_CD, A.PROPO_DT, A.VIN ORDER BY A.REPAIR_TYPE_CD DESC, A.PROPO_SEQ) AS RK
                            , C.HOLDING_ID AS HOLDING_ID
                            , C.GROUP_ID AS SHOP_CD 
                            , A.PROPO_DT
                            , A.PROPO_SEQ
                            , A.REPAIR_TYPE_CD  
                    FROM    SVC_PROPO A
                            , CO_VEHIC B
                            , CO_GROUP C
                            , WITH_PARAM P
                    WHERE   1=1
                    AND     A.PAYBACK_YN='N'
                    AND     A.STAT_CD!='99'
                    AND     A.SHOP_CD = C.GROUP_ID
                    AND     A.PROPO_DT BETWEEN P.APP_PREV_YEAR_SRT_YMD AND P.APP_YM||'31'
                    AND     A.VIN=B.VIN
                    AND     C.USE_YN = 'Y'
                    AND     C.GROUP_TYPE = 'P'
            ) A
            , WITH_PARAM P
            WHERE   RK = 1   
    ) A  
    , WITH_PARAM P
    WHERE   1=1
    AND     (P.HOLDING_ID IS NULL OR A.HOLDING_ID = P.HOLDING_ID)
    AND     (P.SHOP_CD IS NULL OR A.SHOP_CD = P.SHOP_CD)  
    GROUP BY NVL2(P.HOLDING_ID, A.HOLDING_ID, 'TT'), NVL2(P.SHOP_CD, A.SHOP_CD, 'TT'), A.STD_MONTH
)
WHERE 1=1
AND STD_MONTH != '00'</t>
        </r>
      </text>
    </comment>
    <comment ref="N40" authorId="0" shapeId="0" xr:uid="{68E449FA-43C2-4411-B7EB-5472084E45D6}">
      <text>
        <r>
          <rPr>
            <b/>
            <sz val="9"/>
            <color indexed="81"/>
            <rFont val="Tahoma"/>
            <family val="2"/>
          </rPr>
          <t>WITH screen_input AS (
    SELECT'20220131' AS std_ymd
        , 'DT00000' AS std_dealer
    FROM dual 
), with_param AS(
    SELECT std_ymd
        , std_dealer
    FROM screen_input
)
    SELECT
        holding_id
        , sum(decode(std_type, 'TY', actual_cpus, 0)) AS actual_cpus
        , sum(decode(std_type, 'TY', actual_bpus, 0)) AS actual_bpus
    FROM
        (
            SELECT
                'TY' AS std_type
    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    , b.holding_id
                , a.shop_cd
                , a.std_dt
                , nvl(a.fp, 0) + nvl(a.po, 0) + nvl(a.gr, 0) AS actual_cpus
                , nvl(a.bp, 0) AS actual_bpus
            FROM
                svc_daily_unit_report a
                , co_group b
                , with_param p
            WHERE
                a.shop_cd = b.group_id
                AND b.holding_id = p.std_dealer
                AND std_dt = p.std_ymd
        )
GROUP BY holding_id</t>
        </r>
      </text>
    </comment>
    <comment ref="O40" authorId="0" shapeId="0" xr:uid="{DFB090F3-DFBF-4535-8361-D3F9F89FBA71}">
      <text>
        <r>
          <rPr>
            <b/>
            <sz val="9"/>
            <color indexed="81"/>
            <rFont val="Tahoma"/>
            <family val="2"/>
          </rPr>
          <t>SELECT a.dealer_id
    , count(*)
FROM dms_svc_ro a
WHERE 1=1
AND a.dealer_id = 'DT00000'
and a.repair_type_cd = '1'
AND a.propo_dt between '20220101' and '20220131'
AND (a.ro_close_type_cd != 'BP' and a.ro_close_type_cd = 'PSP')
and a.stat_cd != '99'
group by a.dealer_id</t>
        </r>
      </text>
    </comment>
    <comment ref="P40" authorId="0" shapeId="0" xr:uid="{B6758712-4A85-487D-9590-98DFA663446C}">
      <text>
        <r>
          <rPr>
            <b/>
            <sz val="9"/>
            <color indexed="81"/>
            <rFont val="Tahoma"/>
            <family val="2"/>
          </rPr>
          <t>SELECT a.dealer_id
    , count(*)
FROM dms_svc_ro a
WHERE 1=1
AND a.dealer_id = 'DT00000'
and a.repair_type_cd = '1'
AND a.propo_dt between '20220101' and '20220131'
AND ((a.ro_close_type_cd != 'BP' and a.ro_close_type_cd = 'FMS')
     or (a.ro_close_type_cd != 'BP' and a.ro_close_type_cd = 'PSP')
     or (a.ro_close_type_cd != 'BP' and a.ro_close_type_cd = 'GR')
     or (a.ro_close_type_cd != 'BP' and a.ro_close_type_cd = 'FMS_1K')
     or (a.ro_close_type_cd != 'BP' and a.ro_close_type_cd = 'PO')
     )
and a.stat_cd != '99'
group by a.dealer_id</t>
        </r>
      </text>
    </comment>
    <comment ref="M41" authorId="0" shapeId="0" xr:uid="{FCCF9AD6-D166-4A48-8384-5AE04C9BF601}">
      <text>
        <r>
          <rPr>
            <b/>
            <sz val="9"/>
            <color indexed="81"/>
            <rFont val="Tahoma"/>
            <family val="2"/>
          </rPr>
          <t>WITH SCREEN_INPUT AS (
    SELECT  '202301' AS APP_YM
        , '202301' AS STD_YM
        , 'DT00000' AS HOLDING_ID
        , '' AS SHOP_CD 
    FROM DUAL
), WITH_PARAM AS (
    SELECT  REPLACE(APP_YM,'-') AS APP_YM
        , TO_CHAR(TO_DATE(REPLACE(APP_YM,'-'),'YYYYMM'),'YYYY') AS APP_YEAR
        , TO_CHAR(TRUNC(TO_DATE(REPLACE(APP_YM,'-'),'YYYYMM'),'YEAR'),'YYYYMM') AS APP_YEAR_SRT_MM
        , TO_CHAR(TRUNC(ADD_MONTHS(TO_DATE(REPLACE(APP_YM,'-'),'YYYYMM'),12),'YEAR')-1,'YYYYMM') AS APP_YEAR_END_MM
        , TO_CHAR(TRUNC(TO_DATE(REPLACE(APP_YM,'-'),'YYYYMM'),'YEAR'),'YYYYMMDD') AS APP_YEAR_SRT_YMD
        , TO_CHAR(TRUNC(ADD_MONTHS(TO_DATE(REPLACE(APP_YM,'-'),'YYYYMM'),12),'YEAR')-1,'YYYYMMDD') AS APP_YEAR_END_YMD
        , TO_NUMBER(TO_CHAR(TO_DATE(REPLACE(APP_YM,'-'),'YYYYMM'),'MM')) AS MONTH_CNT
        , TO_CHAR(ADD_MONTHS(TO_DATE(REPLACE(APP_YM,'-'),'YYYYMM'),-12),'YYYY') AS APP_PREV_YEAR
        , TO_CHAR(TRUNC(ADD_MONTHS(TO_DATE(REPLACE(APP_YM,'-'),'YYYYMM'),-12),'YEAR'),'YYYYMM') AS APP_PREV_YEAR_SRT_MM
        , TO_CHAR(TRUNC(TO_DATE(REPLACE(APP_YM,'-'),'YYYYMM'),'YEAR')-1,'YYYYMM') AS APP_PREV_YEAR_END_MM 
        , TO_CHAR(TRUNC(ADD_MONTHS(TO_DATE(REPLACE(APP_YM,'-'),'YYYYMM'),-12),'YEAR'),'YYYYMMDD') AS APP_PREV_YEAR_SRT_YMD
        , TO_CHAR(TRUNC(TO_DATE(REPLACE(APP_YM,'-'),'YYYYMM'),'YEAR')-1,'YYYYMMDD') AS APP_PREV_YEAR_END_YMD         
        , TO_CHAR(TRUNC(TO_DATE(REPLACE(APP_YM,'-'),'YYYYMM'),'YEAR'),'YYYY-MM-DD') AS APP_YEAR_SRT_YMD_DASH
        , TO_CHAR(LAST_DAY(TO_DATE(REPLACE(APP_YM,'-'),'YYYYMM')),'YYYY-MM-DD') AS APP_YEAR_END_YMD_DASH
        , TO_CHAR(TRUNC(TO_DATE(REPLACE(APP_YM,'-'),'YYYYMM'),'YEAR'),'YYYY-MM') AS APP_YEAR_SRT_YM_DASH
        , TO_CHAR(LAST_DAY(TO_DATE(REPLACE(APP_YM,'-'),'YYYYMM')),'YYYY-MM') AS APP_YEAR_END_YM_DASH
        , HOLDING_ID AS HOLDING_ID
        , SHOP_CD AS SHOP_CD         
    FROM SCREEN_INPUT
)
SELECT FM_CNT
    , PS_CNT
    , GR_CNT + PO_CNT
FROM (
    SELECT  NVL2(P.HOLDING_ID, A.HOLDING_ID, 'TT') AS HOLDING_ID
            , NVL2(P.SHOP_CD, A.SHOP_CD, 'TT') AS SHOP_CD
            , A.STD_MONTH
            , SUM(CASE WHEN BP_CNT &gt; 0 THEN 1 ELSE 0 END) BP_CNT
            , SUM(CASE WHEN BP_CNT=0 AND FM_CNT &gt; 0 THEN 1 ELSE 0 END) FM_CNT 
            , SUM(CASE WHEN BP_CNT=0 AND FM_CNT=0 AND PS_CNT &gt; 0 THEN 1 ELSE 0 END) PS_CNT
            , SUM(CASE WHEN BP_CNT=0 AND FM_CNT=0 AND PS_CNT=0 AND PO_CNT &gt; 0 THEN 1 ELSE 0 END) PO_CNT
            , SUM(CASE WHEN BP_CNT=0 AND FM_CNT=0 AND PS_CNT=0 AND PO_CNT=0 AND GR_CNT &gt; 0 THEN 1 ELSE 0 END) GR_CNT
            , SUM(CASE WHEN BP_CNT=0 AND FM_CNT=0 AND PS_CNT=0 AND PO_CNT=0 AND GR_CNT=0 AND WT_CNT &gt; 0 THEN 1 ELSE 0 END) WT_CNT
            , SUM(CASE WHEN BP_CNT=0 AND FM_CNT=0 AND PS_CNT=0 AND PO_CNT=0 AND GR_CNT=0 AND WT_CNT=0 AND IT_CNT &gt; 0 THEN 1 ELSE 0 END) IT_CNT
    FROM    (
            SELECT  A.HOLDING_ID
                    , A.SHOP_CD
                    , CASE WHEN SUBSTR(A.PROPO_DT,1,4)!= P.APP_YEAR THEN '00' ELSE SUBSTR(A.PROPO_DT,5,2) END STD_MONTH
                    , CASE WHEN NVL(A.REPAIR_TYPE_CD,1)='2' THEN 1 ELSE 0 END AS BP_CNT
                    , NVL((SELECT 1 FROM SVC_FRM_PART_VIEW10 WHERE SHOP_CD=A.SHOP_CD AND PROPO_DT=A.PROPO_DT AND PROPO_SEQ=A.PROPO_SEQ AND RO_TYPE_CD IN ('F') AND ROWNUM=1),0) AS FM_CNT
                    , NVL((SELECT 1 FROM SVC_FRM_PART_VIEW10 WHERE SHOP_CD=A.SHOP_CD AND PROPO_DT=A.PROPO_DT AND PROPO_SEQ=A.PROPO_SEQ AND RO_TYPE_CD IN ('Y') AND ROWNUM=1),0) AS PS_CNT
                    , NVL((SELECT 1 FROM SVC_FRM_PART_VIEW10 V, SVC_FRM F WHERE V.SHOP_CD=A.SHOP_CD AND  V.PROPO_DT=A.PROPO_DT AND  V.PROPO_SEQ=A.PROPO_SEQ AND V.FRM_NO=F.FRM_NO(+) AND V.RO_TYPE_CD IN ('I','G') AND V.SALE_AMT &gt; 0 AND NVL(F.WORK_TYPE_CD,'99999')='3' AND ROWNUM=1),0) AS PO_CNT
                    , NVL((SELECT 1 FROM SVC_FRM_PART_VIEW10 V, SVC_FRM F WHERE V.SHOP_CD=A.SHOP_CD AND  V.PROPO_DT=A.PROPO_DT AND  V.PROPO_SEQ=A.PROPO_SEQ AND V.FRM_NO=F.FRM_NO(+) AND V.RO_TYPE_CD IN ('I','G') AND V.CNFM_AMT &gt; 0 AND (V.SALE_AMT &lt;=  0 OR NVL(F.WORK_TYPE_CD,'99999')!='3') AND ROWNUM=1),0) AS GR_CNT
                    , NVL((SELECT 1 FROM SVC_FRM_PART_VIEW10 WHERE SHOP_CD=A.SHOP_CD AND PROPO_DT=A.PROPO_DT AND PROPO_SEQ=A.PROPO_SEQ AND RO_TYPE_CD IN ('W') AND ROWNUM=1),0) AS WT_CNT
                    , NVL((SELECT 1 FROM SVC_FRM_PART_VIEW10 WHERE SHOP_CD=A.SHOP_CD AND PROPO_DT=A.PROPO_DT AND PROPO_SEQ=A.PROPO_SEQ AND (RO_TYPE_CD='S' OR (RO_TYPE_CD='G' AND CNFM_AMT=0)) AND ROWNUM=1),0) AS IT_CNT
            FROM    (                    
                    SELECT  RANK() OVER(PARTITION BY A.SHOP_CD, A.PROPO_DT, A.VIN ORDER BY A.REPAIR_TYPE_CD DESC, A.PROPO_SEQ) AS RK
                            , C.HOLDING_ID AS HOLDING_ID
                            , C.GROUP_ID AS SHOP_CD 
                            , A.PROPO_DT
                            , A.PROPO_SEQ
                            , A.REPAIR_TYPE_CD  
                    FROM    SVC_PROPO A
                            , CO_VEHIC B
                            , CO_GROUP C
                            , WITH_PARAM P
                    WHERE   1=1
                    AND     A.PAYBACK_YN='N'
                    AND     A.STAT_CD!='99'
                    AND     A.SHOP_CD = C.GROUP_ID
                    AND     A.PROPO_DT BETWEEN P.APP_PREV_YEAR_SRT_YMD AND P.APP_YM||'31'
                    AND     A.VIN=B.VIN
                    AND     C.USE_YN = 'Y'
                    AND     C.GROUP_TYPE = 'P'
            ) A
            , WITH_PARAM P
            WHERE   RK = 1   
    ) A  
    , WITH_PARAM P
    WHERE   1=1
    AND     (P.HOLDING_ID IS NULL OR A.HOLDING_ID = P.HOLDING_ID)
    AND     (P.SHOP_CD IS NULL OR A.SHOP_CD = P.SHOP_CD)  
    GROUP BY NVL2(P.HOLDING_ID, A.HOLDING_ID, 'TT'), NVL2(P.SHOP_CD, A.SHOP_CD, 'TT'), A.STD_MONTH
)
WHERE 1=1
AND STD_MONTH != '00'</t>
        </r>
      </text>
    </comment>
    <comment ref="N41" authorId="0" shapeId="0" xr:uid="{6E7D4956-E4A5-4C0E-879D-0179799C40C4}">
      <text>
        <r>
          <rPr>
            <b/>
            <sz val="9"/>
            <color indexed="81"/>
            <rFont val="Tahoma"/>
            <family val="2"/>
          </rPr>
          <t>WITH screen_input AS (
    SELECT'20230131' AS std_ymd
        , 'DT00000' AS std_dealer
    FROM dual 
), with_param AS(
    SELECT std_ymd
        , std_dealer
    FROM screen_input
)
    SELECT
        holding_id
        , sum(decode(std_type, 'TY', actual_cpus, 0)) AS actual_cpus
        , sum(decode(std_type, 'TY', actual_bpus, 0)) AS actual_bpus
    FROM
        (
            SELECT
                'TY' AS std_type
    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    , b.holding_id
                , a.shop_cd
                , a.std_dt
                , nvl(a.fp, 0) + nvl(a.po, 0) + nvl(a.gr, 0) AS actual_cpus
                , nvl(a.bp, 0) AS actual_bpus
            FROM
                svc_daily_unit_report a
                , co_group b
                , with_param p
            WHERE
                a.shop_cd = b.group_id
                AND b.holding_id = p.std_dealer
                AND std_dt = p.std_ymd
        )
GROUP BY holding_id</t>
        </r>
      </text>
    </comment>
    <comment ref="O41" authorId="0" shapeId="0" xr:uid="{B38DD142-866B-4E1D-AB4C-978CE8CDAC42}">
      <text>
        <r>
          <rPr>
            <b/>
            <sz val="9"/>
            <color indexed="81"/>
            <rFont val="Tahoma"/>
            <family val="2"/>
          </rPr>
          <t>SELECT b.dealer_id
    , count(*)
FROM dms_svc_ro a
    left join dms_co_dealer_v b
    on 1=1
    and a.dealer_id = b.dealer_id
WHERE 1=1
AND b.dealer_id = 'DT00000'
and a.repair_type_cd = '1'
AND a.propo_dt between '20230101' and '20230131'
and ((a.ro_close_type_cd != 'BP' and a.ro_close_type_cd = 'GR')
     or (a.ro_close_type_cd != 'BP' and a.ro_close_type_cd = 'PO')
     )
and a.stat_cd != '99'
group by b.dealer_id</t>
        </r>
      </text>
    </comment>
    <comment ref="P41" authorId="0" shapeId="0" xr:uid="{37BECF4F-C0A0-49BA-896B-17365285E62E}">
      <text>
        <r>
          <rPr>
            <b/>
            <sz val="9"/>
            <color indexed="81"/>
            <rFont val="Tahoma"/>
            <family val="2"/>
          </rPr>
          <t>SELECT a.dealer_id
    , count(*)
FROM dms_svc_ro a
WHERE 1=1
AND a.dealer_id = 'DT00000'
and a.repair_type_cd = '1'
AND a.propo_dt between '20230101' and '20230131'
AND ((a.ro_close_type_cd != 'BP' and a.ro_close_type_cd = 'FMS')
     or (a.ro_close_type_cd != 'BP' and a.ro_close_type_cd = 'PSP')
     or (a.ro_close_type_cd != 'BP' and a.ro_close_type_cd = 'GR')
     or (a.ro_close_type_cd != 'BP' and a.ro_close_type_cd = 'FMS_1K')
     or (a.ro_close_type_cd != 'BP' and a.ro_close_type_cd = 'PO')
     )
and a.stat_cd != '99'
group by a.dealer_id</t>
        </r>
      </text>
    </comment>
    <comment ref="M42" authorId="0" shapeId="0" xr:uid="{DB0CA8A3-42D3-40C9-9622-4DCF57C57AD5}">
      <text>
        <r>
          <rPr>
            <b/>
            <sz val="9"/>
            <color indexed="81"/>
            <rFont val="Tahoma"/>
            <family val="2"/>
          </rPr>
          <t>WITH SCREEN_INPUT AS (
    SELECT  '202201' AS APP_YM
        , '202301' AS STD_YM
        , 'DT00000' AS HOLDING_ID
        , '' AS SHOP_CD 
    FROM DUAL
), WITH_PARAM AS (
    SELECT  REPLACE(APP_YM,'-') AS APP_YM
        , TO_CHAR(TO_DATE(REPLACE(APP_YM,'-'),'YYYYMM'),'YYYY') AS APP_YEAR
        , TO_CHAR(TRUNC(TO_DATE(REPLACE(APP_YM,'-'),'YYYYMM'),'YEAR'),'YYYYMM') AS APP_YEAR_SRT_MM
        , TO_CHAR(TRUNC(ADD_MONTHS(TO_DATE(REPLACE(APP_YM,'-'),'YYYYMM'),12),'YEAR')-1,'YYYYMM') AS APP_YEAR_END_MM
        , TO_CHAR(TRUNC(TO_DATE(REPLACE(APP_YM,'-'),'YYYYMM'),'YEAR'),'YYYYMMDD') AS APP_YEAR_SRT_YMD
        , TO_CHAR(TRUNC(ADD_MONTHS(TO_DATE(REPLACE(APP_YM,'-'),'YYYYMM'),12),'YEAR')-1,'YYYYMMDD') AS APP_YEAR_END_YMD
        , TO_NUMBER(TO_CHAR(TO_DATE(REPLACE(APP_YM,'-'),'YYYYMM'),'MM')) AS MONTH_CNT
        , TO_CHAR(ADD_MONTHS(TO_DATE(REPLACE(APP_YM,'-'),'YYYYMM'),-12),'YYYY') AS APP_PREV_YEAR
        , TO_CHAR(TRUNC(ADD_MONTHS(TO_DATE(REPLACE(APP_YM,'-'),'YYYYMM'),-12),'YEAR'),'YYYYMM') AS APP_PREV_YEAR_SRT_MM
        , TO_CHAR(TRUNC(TO_DATE(REPLACE(APP_YM,'-'),'YYYYMM'),'YEAR')-1,'YYYYMM') AS APP_PREV_YEAR_END_MM 
        , TO_CHAR(TRUNC(ADD_MONTHS(TO_DATE(REPLACE(APP_YM,'-'),'YYYYMM'),-12),'YEAR'),'YYYYMMDD') AS APP_PREV_YEAR_SRT_YMD
        , TO_CHAR(TRUNC(TO_DATE(REPLACE(APP_YM,'-'),'YYYYMM'),'YEAR')-1,'YYYYMMDD') AS APP_PREV_YEAR_END_YMD         
        , TO_CHAR(TRUNC(TO_DATE(REPLACE(APP_YM,'-'),'YYYYMM'),'YEAR'),'YYYY-MM-DD') AS APP_YEAR_SRT_YMD_DASH
        , TO_CHAR(LAST_DAY(TO_DATE(REPLACE(APP_YM,'-'),'YYYYMM')),'YYYY-MM-DD') AS APP_YEAR_END_YMD_DASH
        , TO_CHAR(TRUNC(TO_DATE(REPLACE(APP_YM,'-'),'YYYYMM'),'YEAR'),'YYYY-MM') AS APP_YEAR_SRT_YM_DASH
        , TO_CHAR(LAST_DAY(TO_DATE(REPLACE(APP_YM,'-'),'YYYYMM')),'YYYY-MM') AS APP_YEAR_END_YM_DASH
        , HOLDING_ID AS HOLDING_ID
        , SHOP_CD AS SHOP_CD         
    FROM SCREEN_INPUT
)
SELECT FM_CNT
    , PS_CNT
    , GR_CNT + PO_CNT
FROM (
    SELECT  NVL2(P.HOLDING_ID, A.HOLDING_ID, 'TT') AS HOLDING_ID
            , NVL2(P.SHOP_CD, A.SHOP_CD, 'TT') AS SHOP_CD
            , A.STD_MONTH
            , SUM(CASE WHEN BP_CNT &gt; 0 THEN 1 ELSE 0 END) BP_CNT
            , SUM(CASE WHEN BP_CNT=0 AND FM_CNT &gt; 0 THEN 1 ELSE 0 END) FM_CNT 
            , SUM(CASE WHEN BP_CNT=0 AND FM_CNT=0 AND PS_CNT &gt; 0 THEN 1 ELSE 0 END) PS_CNT
            , SUM(CASE WHEN BP_CNT=0 AND FM_CNT=0 AND PS_CNT=0 AND PO_CNT &gt; 0 THEN 1 ELSE 0 END) PO_CNT
            , SUM(CASE WHEN BP_CNT=0 AND FM_CNT=0 AND PS_CNT=0 AND PO_CNT=0 AND GR_CNT &gt; 0 THEN 1 ELSE 0 END) GR_CNT
            , SUM(CASE WHEN BP_CNT=0 AND FM_CNT=0 AND PS_CNT=0 AND PO_CNT=0 AND GR_CNT=0 AND WT_CNT &gt; 0 THEN 1 ELSE 0 END) WT_CNT
            , SUM(CASE WHEN BP_CNT=0 AND FM_CNT=0 AND PS_CNT=0 AND PO_CNT=0 AND GR_CNT=0 AND WT_CNT=0 AND IT_CNT &gt; 0 THEN 1 ELSE 0 END) IT_CNT
    FROM    (
            SELECT  A.HOLDING_ID
                    , A.SHOP_CD
                    , CASE WHEN SUBSTR(A.PROPO_DT,1,4)!= P.APP_YEAR THEN '00' ELSE SUBSTR(A.PROPO_DT,5,2) END STD_MONTH
                    , CASE WHEN NVL(A.REPAIR_TYPE_CD,1)='2' THEN 1 ELSE 0 END AS BP_CNT
                    , NVL((SELECT 1 FROM SVC_FRM_PART_VIEW10 WHERE SHOP_CD=A.SHOP_CD AND PROPO_DT=A.PROPO_DT AND PROPO_SEQ=A.PROPO_SEQ AND RO_TYPE_CD IN ('F') AND ROWNUM=1),0) AS FM_CNT
                    , NVL((SELECT 1 FROM SVC_FRM_PART_VIEW10 WHERE SHOP_CD=A.SHOP_CD AND PROPO_DT=A.PROPO_DT AND PROPO_SEQ=A.PROPO_SEQ AND RO_TYPE_CD IN ('Y') AND ROWNUM=1),0) AS PS_CNT
                    , NVL((SELECT 1 FROM SVC_FRM_PART_VIEW10 V, SVC_FRM F WHERE V.SHOP_CD=A.SHOP_CD AND  V.PROPO_DT=A.PROPO_DT AND  V.PROPO_SEQ=A.PROPO_SEQ AND V.FRM_NO=F.FRM_NO(+) AND V.RO_TYPE_CD IN ('I','G') AND V.SALE_AMT &gt; 0 AND NVL(F.WORK_TYPE_CD,'99999')='3' AND ROWNUM=1),0) AS PO_CNT
                    , NVL((SELECT 1 FROM SVC_FRM_PART_VIEW10 V, SVC_FRM F WHERE V.SHOP_CD=A.SHOP_CD AND  V.PROPO_DT=A.PROPO_DT AND  V.PROPO_SEQ=A.PROPO_SEQ AND V.FRM_NO=F.FRM_NO(+) AND V.RO_TYPE_CD IN ('I','G') AND V.CNFM_AMT &gt; 0 AND (V.SALE_AMT &lt;=  0 OR NVL(F.WORK_TYPE_CD,'99999')!='3') AND ROWNUM=1),0) AS GR_CNT
                    , NVL((SELECT 1 FROM SVC_FRM_PART_VIEW10 WHERE SHOP_CD=A.SHOP_CD AND PROPO_DT=A.PROPO_DT AND PROPO_SEQ=A.PROPO_SEQ AND RO_TYPE_CD IN ('W') AND ROWNUM=1),0) AS WT_CNT
                    , NVL((SELECT 1 FROM SVC_FRM_PART_VIEW10 WHERE SHOP_CD=A.SHOP_CD AND PROPO_DT=A.PROPO_DT AND PROPO_SEQ=A.PROPO_SEQ AND (RO_TYPE_CD='S' OR (RO_TYPE_CD='G' AND CNFM_AMT=0)) AND ROWNUM=1),0) AS IT_CNT
            FROM    (                    
                    SELECT  RANK() OVER(PARTITION BY A.SHOP_CD, A.PROPO_DT, A.VIN ORDER BY A.REPAIR_TYPE_CD DESC, A.PROPO_SEQ) AS RK
                            , C.HOLDING_ID AS HOLDING_ID
                            , C.GROUP_ID AS SHOP_CD 
                            , A.PROPO_DT
                            , A.PROPO_SEQ
                            , A.REPAIR_TYPE_CD  
                    FROM    SVC_PROPO A
                            , CO_VEHIC B
                            , CO_GROUP C
                            , WITH_PARAM P
                    WHERE   1=1
                    AND     A.PAYBACK_YN='N'
                    AND     A.STAT_CD!='99'
                    AND     A.SHOP_CD = C.GROUP_ID
                    AND     A.PROPO_DT BETWEEN P.APP_PREV_YEAR_SRT_YMD AND P.APP_YM||'31'
                    AND     A.VIN=B.VIN
                    AND     C.USE_YN = 'Y'
                    AND     C.GROUP_TYPE = 'P'
            ) A
            , WITH_PARAM P
            WHERE   RK = 1   
    ) A  
    , WITH_PARAM P
    WHERE   1=1
    AND     (P.HOLDING_ID IS NULL OR A.HOLDING_ID = P.HOLDING_ID)
    AND     (P.SHOP_CD IS NULL OR A.SHOP_CD = P.SHOP_CD)  
    GROUP BY NVL2(P.HOLDING_ID, A.HOLDING_ID, 'TT'), NVL2(P.SHOP_CD, A.SHOP_CD, 'TT'), A.STD_MONTH
)
WHERE 1=1
AND STD_MONTH != '00'</t>
        </r>
      </text>
    </comment>
    <comment ref="N42" authorId="0" shapeId="0" xr:uid="{9FB59E20-3B8C-4A9F-AB0E-4473A3D00094}">
      <text>
        <r>
          <rPr>
            <b/>
            <sz val="9"/>
            <color indexed="81"/>
            <rFont val="Tahoma"/>
            <family val="2"/>
          </rPr>
          <t>WITH screen_input AS (
    SELECT'20220131' AS std_ymd
        , 'DT00000' AS std_dealer
    FROM dual 
), with_param AS(
    SELECT std_ymd
        , std_dealer
    FROM screen_input
)
    SELECT
        holding_id
        , sum(decode(std_type, 'TY', actual_cpus, 0)) AS actual_cpus
        , sum(decode(std_type, 'TY', actual_bpus, 0)) AS actual_bpus
    FROM
        (
            SELECT
                'TY' AS std_type
    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    , b.holding_id
                , a.shop_cd
                , a.std_dt
                , nvl(a.fp, 0) + nvl(a.po, 0) + nvl(a.gr, 0) AS actual_cpus
                , nvl(a.bp, 0) AS actual_bpus
            FROM
                svc_daily_unit_report a
                , co_group b
                , with_param p
            WHERE
                a.shop_cd = b.group_id
                AND b.holding_id = p.std_dealer
                AND std_dt = p.std_ymd
        )
GROUP BY holding_id</t>
        </r>
      </text>
    </comment>
    <comment ref="O42" authorId="0" shapeId="0" xr:uid="{C8C3350C-79F6-48B0-BF68-5200CA412427}">
      <text>
        <r>
          <rPr>
            <b/>
            <sz val="9"/>
            <color indexed="81"/>
            <rFont val="Tahoma"/>
            <family val="2"/>
          </rPr>
          <t>SELECT b.dealer_id
    , count(*)
FROM dms_svc_ro a
    left join dms_co_dealer_v b
    on 1=1
    and a.dealer_id = b.dealer_id
WHERE 1=1
AND b.dealer_id = 'DT00000'
and a.repair_type_cd = '1'
AND a.propo_dt between '20220101' and '20220131'
and ((a.ro_close_type_cd != 'BP' and a.ro_close_type_cd = 'GR')
     or (a.ro_close_type_cd != 'BP' and a.ro_close_type_cd = 'PO')
     )
and a.stat_cd != '99'
group by b.dealer_id</t>
        </r>
      </text>
    </comment>
    <comment ref="P42" authorId="0" shapeId="0" xr:uid="{2A54DE25-86F3-4E09-8396-6DFCA4573A3B}">
      <text>
        <r>
          <rPr>
            <b/>
            <sz val="9"/>
            <color indexed="81"/>
            <rFont val="Tahoma"/>
            <family val="2"/>
          </rPr>
          <t>SELECT a.dealer_id
    , count(*)
FROM dms_svc_ro a
WHERE 1=1
AND a.dealer_id = 'DT00000'
and a.repair_type_cd = '1'
AND a.propo_dt between '20220101' and '20220131'
AND ((a.ro_close_type_cd != 'BP' and a.ro_close_type_cd = 'FMS')
     or (a.ro_close_type_cd != 'BP' and a.ro_close_type_cd = 'PSP')
     or (a.ro_close_type_cd != 'BP' and a.ro_close_type_cd = 'GR')
     or (a.ro_close_type_cd != 'BP' and a.ro_close_type_cd = 'FMS_1K')
     or (a.ro_close_type_cd != 'BP' and a.ro_close_type_cd = 'PO')
     )
and a.stat_cd != '99'
group by a.dealer_id</t>
        </r>
      </text>
    </comment>
    <comment ref="M43" authorId="0" shapeId="0" xr:uid="{7D949AEF-B989-44E1-A9A8-E9E9DFDF3329}">
      <text>
        <r>
          <rPr>
            <b/>
            <sz val="9"/>
            <color indexed="81"/>
            <rFont val="Tahoma"/>
            <family val="2"/>
          </rPr>
          <t>SELECT sum(sales_amt)
FROM SVC_DAILY_SALES_REPORT a
    , co_group b
WHERE 1=1
AND a.shop_cd = b.group_id
AND b.holding_id = 'DT00000'
AND type3_cd = '1110'
AND std_dt = '20230131'</t>
        </r>
      </text>
    </comment>
    <comment ref="N43" authorId="0" shapeId="0" xr:uid="{391570D9-DA7B-4C65-8BC4-A4BF13F5C490}">
      <text>
        <r>
          <rPr>
            <b/>
            <sz val="9"/>
            <color indexed="81"/>
            <rFont val="Tahoma"/>
            <family val="2"/>
          </rPr>
          <t>WITH screen_input AS (
    SELECT'20230131' AS std_ymd
        , 'DT00000' AS std_dealer
    FROM dual 
), with_param AS(
    SELECT std_ymd
        , to_char(add_months(to_date(std_ymd, 'YYYYMMDD'),-12), 'YYYYMMDD') AS ly_std_ymd
        , substr( to_char(add_months(to_date(std_ymd, 'YYYYMMDD'),-12), 'YYYYMMDD') , 1, 6) AS ly_std_ym
        , std_dealer
    FROM screen_input
)
SELECT holding_id
    , sum(decode(std_type, 'TY', actual_cps, 0)) AS actual_cps
    , sum(decode(std_type, 'TY', actual_bps, 0)) AS actual_bps
FROM (
        SELECT
            'TY' AS std_type
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, b.holding_id
            , a.std_dt
            , sum(CASE WHEN type3_cd = '1130' THEN sales_amt ELSE 0 END) AS actual_cps
            , sum(CASE WHEN type3_cd = '2210' THEN sales_amt ELSE 0 END) AS actual_bps
        FROM svc_daily_sales_report a
            , co_group b
            , with_param p
        WHERE 1=1
        AND a.shop_cd = b.group_id
        AND b.holding_id = p.std_dealer
        AND a.type3_cd IN ('1130', '2210')
        AND a.std_dt = p.std_ymd
        GROUP BY b.holding_id
            , a.std_dt
    )
WHERE 1=1
GROUP BY holding_id</t>
        </r>
      </text>
    </comment>
    <comment ref="O43" authorId="0" shapeId="0" xr:uid="{BDFF2DF8-E410-4D92-839D-D91A6B983300}">
      <text>
        <r>
          <rPr>
            <b/>
            <sz val="9"/>
            <color indexed="81"/>
            <rFont val="Tahoma"/>
            <family val="2"/>
          </rPr>
          <t>select sum(sales_amt)
from dms_svc_ro a
    left join dms_svc_ro_sales b
    on 1=1
    and a.dms_brand_cd = b.dms_brand_cd
    and a.group_id = b.group_id
    and a.propo_dt = b.propo_dt
    and a.propo_seq = b.propo_seq
where 1=1
and b.ro_type_cd = 'F'
and a.dealer_id = 'DT00000'
and b.sales_dt between to_date('20230101', 'YYYYMMDD') and to_date('20230131', 'YYYYMMDD')
and a.stat_cd != '99'</t>
        </r>
      </text>
    </comment>
    <comment ref="P43" authorId="0" shapeId="0" xr:uid="{C71C9D2E-0636-411C-9742-AA68A622B78B}">
      <text>
        <r>
          <rPr>
            <b/>
            <sz val="9"/>
            <color indexed="81"/>
            <rFont val="Tahoma"/>
            <family val="2"/>
          </rPr>
          <t>select a.dealer_id
    , sum(b.sales_amt)
from dms_svc_ro a
    left outer join dms_svc_ro_sales b
    on 1=1
    and a.group_id = b.group_id
    and a.propo_dt = b.propo_dt
    and a.propo_seq = b.propo_seq
where 1=1
and (ro_type_cd = 'F'
     or ro_type_cd = 'Y'
     or (a.repair_type_cd = '1' and ro_type_cd = 'I')
     or (a.repair_type_cd = '1' and ro_type_cd = 'G'))
and a.dealer_id = 'DT00000'
and b.sales_dt between to_date('20230101', 'yyyymmdd') and to_date('20230131', 'yyyymmdd')
and a.stat_cd != '99'
group BY a.dealer_id</t>
        </r>
      </text>
    </comment>
    <comment ref="M44" authorId="0" shapeId="0" xr:uid="{7A3C7CF9-C678-4249-B4B2-C31169CAAFBC}">
      <text>
        <r>
          <rPr>
            <b/>
            <sz val="9"/>
            <color indexed="81"/>
            <rFont val="Tahoma"/>
            <family val="2"/>
          </rPr>
          <t>SELECT sum(sales_amt)
FROM SVC_DAILY_SALES_REPORT a
    , co_group b
WHERE 1=1
AND a.shop_cd = b.group_id
AND b.holding_id = 'DT00000'
AND type3_cd = '1110'
AND std_dt = '20220131'</t>
        </r>
      </text>
    </comment>
    <comment ref="N44" authorId="0" shapeId="0" xr:uid="{F301DBFD-5855-4DEB-B1DE-FE8F1BC386A8}">
      <text>
        <r>
          <rPr>
            <b/>
            <sz val="9"/>
            <color indexed="81"/>
            <rFont val="Tahoma"/>
            <family val="2"/>
          </rPr>
          <t>WITH screen_input AS (
    SELECT'20220131' AS std_ymd
        , 'DT00000' AS std_dealer
    FROM dual 
), with_param AS(
    SELECT std_ymd
        , to_char(add_months(to_date(std_ymd, 'YYYYMMDD'),-12), 'YYYYMMDD') AS ly_std_ymd
        , substr( to_char(add_months(to_date(std_ymd, 'YYYYMMDD'),-12), 'YYYYMMDD') , 1, 6) AS ly_std_ym
        , std_dealer
    FROM screen_input
)
SELECT holding_id
    , sum(decode(std_type, 'TY', actual_cps, 0)) AS actual_cps
    , sum(decode(std_type, 'TY', actual_bps, 0)) AS actual_bps
FROM (
        SELECT
            'TY' AS std_type
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, b.holding_id
            , a.std_dt
            , sum(CASE WHEN type3_cd = '1130' THEN sales_amt ELSE 0 END) AS actual_cps
            , sum(CASE WHEN type3_cd = '2210' THEN sales_amt ELSE 0 END) AS actual_bps
        FROM svc_daily_sales_report a
            , co_group b
            , with_param p
        WHERE 1=1
        AND a.shop_cd = b.group_id
        AND b.holding_id = p.std_dealer
        AND a.type3_cd IN ('1130', '2210')
        AND a.std_dt = p.std_ymd
        GROUP BY b.holding_id
            , a.std_dt
    )
WHERE 1=1
GROUP BY holding_id</t>
        </r>
      </text>
    </comment>
    <comment ref="O44" authorId="0" shapeId="0" xr:uid="{58D54B93-4307-4E51-8E5A-1939A5097A1D}">
      <text>
        <r>
          <rPr>
            <b/>
            <sz val="9"/>
            <color indexed="81"/>
            <rFont val="Tahoma"/>
            <family val="2"/>
          </rPr>
          <t>select sum(sales_amt)
from dms_svc_ro a
    left join dms_svc_ro_sales b
    on 1=1
    and a.dms_brand_cd = b.dms_brand_cd
    and a.group_id = b.group_id
    and a.propo_dt = b.propo_dt
    and a.propo_seq = b.propo_seq
where 1=1
and b.ro_type_cd = 'F'
and a.dealer_id = 'DT00000'
and b.sales_dt between to_date('20220101', 'YYYYMMDD') and to_date('20220131', 'YYYYMMDD')
and a.stat_cd != '99'</t>
        </r>
      </text>
    </comment>
    <comment ref="P44" authorId="0" shapeId="0" xr:uid="{8F5A5F2F-D9E3-4D64-A541-B2079E32D374}">
      <text>
        <r>
          <rPr>
            <b/>
            <sz val="9"/>
            <color indexed="81"/>
            <rFont val="Tahoma"/>
            <family val="2"/>
          </rPr>
          <t>select a.dealer_id
    , sum(b.sales_amt)
from dms_svc_ro a
    left outer join dms_svc_ro_sales b
    on 1=1
    and a.group_id = b.group_id
    and a.propo_dt = b.propo_dt
    and a.propo_seq = b.propo_seq
where 1=1
and (ro_type_cd = 'F'
     or ro_type_cd = 'Y'
     or (a.repair_type_cd = '1' and ro_type_cd = 'I')
     or (a.repair_type_cd = '1' and ro_type_cd = 'G'))
and a.dealer_id = 'DT00000'
and b.sales_dt between to_date('20220101', 'yyyymmdd') and to_date('20220131', 'yyyymmdd')
and a.stat_cd != '99'
group BY a.dealer_id</t>
        </r>
      </text>
    </comment>
    <comment ref="M45" authorId="0" shapeId="0" xr:uid="{DC7C68E5-94E6-4B2A-B7E7-62DA906B4B89}">
      <text>
        <r>
          <rPr>
            <b/>
            <sz val="9"/>
            <color indexed="81"/>
            <rFont val="Tahoma"/>
            <family val="2"/>
          </rPr>
          <t>SELECT sum(sales_amt)
FROM SVC_DAILY_SALES_REPORT a
    , co_group b
WHERE 1=1
AND a.shop_cd = b.group_id
AND b.holding_id = 'DT00000'
AND type3_cd = '1115'
AND std_dt = '20230131'</t>
        </r>
      </text>
    </comment>
    <comment ref="N45" authorId="0" shapeId="0" xr:uid="{8B9B6B5D-2CE9-4592-B0D4-6CE5AA3E201D}">
      <text>
        <r>
          <rPr>
            <b/>
            <sz val="9"/>
            <color indexed="81"/>
            <rFont val="Tahoma"/>
            <family val="2"/>
          </rPr>
          <t>WITH screen_input AS (
    SELECT'20230131' AS std_ymd
        , 'DT00000' AS std_dealer
    FROM dual 
), with_param AS(
    SELECT std_ymd
        , to_char(add_months(to_date(std_ymd, 'YYYYMMDD'),-12), 'YYYYMMDD') AS ly_std_ymd
        , substr( to_char(add_months(to_date(std_ymd, 'YYYYMMDD'),-12), 'YYYYMMDD') , 1, 6) AS ly_std_ym
        , std_dealer
    FROM screen_input
)
SELECT holding_id
    , sum(decode(std_type, 'TY', actual_cps, 0)) AS actual_cps
    , sum(decode(std_type, 'TY', actual_bps, 0)) AS actual_bps
FROM (
        SELECT
            'TY' AS std_type
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, b.holding_id
            , a.std_dt
            , sum(CASE WHEN type3_cd = '1130' THEN sales_amt ELSE 0 END) AS actual_cps
            , sum(CASE WHEN type3_cd = '2210' THEN sales_amt ELSE 0 END) AS actual_bps
        FROM svc_daily_sales_report a
            , co_group b
            , with_param p
        WHERE 1=1
        AND a.shop_cd = b.group_id
        AND b.holding_id = p.std_dealer
        AND a.type3_cd IN ('1130', '2210')
        AND a.std_dt = p.std_ymd
        GROUP BY b.holding_id
            , a.std_dt
    )
WHERE 1=1
GROUP BY holding_id</t>
        </r>
      </text>
    </comment>
    <comment ref="O45" authorId="0" shapeId="0" xr:uid="{A287E745-074B-46F0-A044-E36AE7EFA2FC}">
      <text>
        <r>
          <rPr>
            <b/>
            <sz val="9"/>
            <color indexed="81"/>
            <rFont val="Tahoma"/>
            <family val="2"/>
          </rPr>
          <t>select sum(sales_amt)
from dms_svc_ro a
    left join dms_svc_ro_sales b
    on 1=1
    and a.dms_brand_cd = b.dms_brand_cd
    and a.group_id = b.group_id
    and a.propo_dt = b.propo_dt
    and a.propo_seq = b.propo_seq
where 1=1
and b.ro_type_cd = 'Y'
and a.dealer_id = 'DT00000'
and b.sales_dt between to_date('20230101', 'YYYYMMDD') and to_date('20230131', 'YYYYMMDD')
and a.stat_cd != '99'</t>
        </r>
      </text>
    </comment>
    <comment ref="P45" authorId="0" shapeId="0" xr:uid="{E621EFF4-81CE-436F-8951-D30A806AA37D}">
      <text>
        <r>
          <rPr>
            <b/>
            <sz val="9"/>
            <color indexed="81"/>
            <rFont val="Tahoma"/>
            <family val="2"/>
          </rPr>
          <t>select a.dealer_id
    , sum(b.sales_amt)
from dms_svc_ro a
    left outer join dms_svc_ro_sales b
    on 1=1
    and a.group_id = b.group_id
    and a.propo_dt = b.propo_dt
    and a.propo_seq = b.propo_seq
where 1=1
and (ro_type_cd = 'F'
     or ro_type_cd = 'Y'
     or (a.repair_type_cd = '1' and ro_type_cd = 'I')
     or (a.repair_type_cd = '1' and ro_type_cd = 'G'))
and a.dealer_id = 'DT00000'
and b.sales_dt between to_date('20230101', 'yyyymmdd') and to_date('20230131', 'yyyymmdd')
and a.stat_cd != '99'
group BY a.dealer_id</t>
        </r>
      </text>
    </comment>
    <comment ref="M46" authorId="0" shapeId="0" xr:uid="{F3F24B24-6D86-4215-A0C3-988CA3F6F7CD}">
      <text>
        <r>
          <rPr>
            <b/>
            <sz val="9"/>
            <color indexed="81"/>
            <rFont val="Tahoma"/>
            <family val="2"/>
          </rPr>
          <t>SELECT sum(sales_amt)
FROM SVC_DAILY_SALES_REPORT a
    , co_group b
WHERE 1=1
AND a.shop_cd = b.group_id
AND b.holding_id = 'DT00000'
AND type3_cd = '1115'
AND std_dt = '20220131'</t>
        </r>
      </text>
    </comment>
    <comment ref="N46" authorId="0" shapeId="0" xr:uid="{D90A741A-8834-4592-8ED6-B32B0437DCC0}">
      <text>
        <r>
          <rPr>
            <b/>
            <sz val="9"/>
            <color indexed="81"/>
            <rFont val="Tahoma"/>
            <family val="2"/>
          </rPr>
          <t>WITH screen_input AS (
    SELECT'20220131' AS std_ymd
        , 'DT00000' AS std_dealer
    FROM dual 
), with_param AS(
    SELECT std_ymd
        , to_char(add_months(to_date(std_ymd, 'YYYYMMDD'),-12), 'YYYYMMDD') AS ly_std_ymd
        , substr( to_char(add_months(to_date(std_ymd, 'YYYYMMDD'),-12), 'YYYYMMDD') , 1, 6) AS ly_std_ym
        , std_dealer
    FROM screen_input
)
SELECT holding_id
    , sum(decode(std_type, 'TY', actual_cps, 0)) AS actual_cps
    , sum(decode(std_type, 'TY', actual_bps, 0)) AS actual_bps
FROM (
        SELECT
            'TY' AS std_type
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, b.holding_id
            , a.std_dt
            , sum(CASE WHEN type3_cd = '1130' THEN sales_amt ELSE 0 END) AS actual_cps
            , sum(CASE WHEN type3_cd = '2210' THEN sales_amt ELSE 0 END) AS actual_bps
        FROM svc_daily_sales_report a
            , co_group b
            , with_param p
        WHERE 1=1
        AND a.shop_cd = b.group_id
        AND b.holding_id = p.std_dealer
        AND a.type3_cd IN ('1130', '2210')
        AND a.std_dt = p.std_ymd
        GROUP BY b.holding_id
            , a.std_dt
    )
WHERE 1=1
GROUP BY holding_id</t>
        </r>
      </text>
    </comment>
    <comment ref="O46" authorId="0" shapeId="0" xr:uid="{1FF8DE38-ED17-4376-B1A9-CB3221A76DD8}">
      <text>
        <r>
          <rPr>
            <b/>
            <sz val="9"/>
            <color indexed="81"/>
            <rFont val="Tahoma"/>
            <family val="2"/>
          </rPr>
          <t>select sum(sales_amt)
from dms_svc_ro a
    left join dms_svc_ro_sales b
    on 1=1
    and a.dms_brand_cd = b.dms_brand_cd
    and a.group_id = b.group_id
    and a.propo_dt = b.propo_dt
    and a.propo_seq = b.propo_seq
where 1=1
and b.ro_type_cd = 'Y'
and a.dealer_id = 'DT00000'
and b.sales_dt between to_date('20220101', 'YYYYMMDD') and to_date('20220131', 'YYYYMMDD')
and a.stat_cd != '99'</t>
        </r>
      </text>
    </comment>
    <comment ref="P46" authorId="0" shapeId="0" xr:uid="{57821CBF-0AEB-4107-8BD6-5AD55FE8BA4E}">
      <text>
        <r>
          <rPr>
            <b/>
            <sz val="9"/>
            <color indexed="81"/>
            <rFont val="Tahoma"/>
            <family val="2"/>
          </rPr>
          <t>select a.dealer_id
    , sum(b.sales_amt)
from dms_svc_ro a
    left outer join dms_svc_ro_sales b
    on 1=1
    and a.group_id = b.group_id
    and a.propo_dt = b.propo_dt
    and a.propo_seq = b.propo_seq
where 1=1
and (ro_type_cd = 'F'
     or ro_type_cd = 'Y'
     or (a.repair_type_cd = '1' and ro_type_cd = 'I')
     or (a.repair_type_cd = '1' and ro_type_cd = 'G'))
and a.dealer_id = 'DT00000'
and b.sales_dt between to_date('20220101', 'yyyymmdd') and to_date('20220131', 'yyyymmdd')
and a.stat_cd != '99'
group BY a.dealer_id</t>
        </r>
      </text>
    </comment>
    <comment ref="M47" authorId="0" shapeId="0" xr:uid="{508A4C69-F7D8-4F1D-8EB0-DF85DD97711D}">
      <text>
        <r>
          <rPr>
            <b/>
            <sz val="9"/>
            <color indexed="81"/>
            <rFont val="Tahoma"/>
            <family val="2"/>
          </rPr>
          <t>SELECT sum(sales_amt)
FROM SVC_DAILY_SALES_REPORT a
    , co_group b
WHERE 1=1
AND a.shop_cd = b.group_id
AND b.holding_id = 'DT00000'
AND type3_cd IN ('1117','1125')
AND std_dt = '20230131'</t>
        </r>
      </text>
    </comment>
    <comment ref="N47" authorId="0" shapeId="0" xr:uid="{056011ED-7A3B-47DF-B64D-3B8DFB31B963}">
      <text>
        <r>
          <rPr>
            <b/>
            <sz val="9"/>
            <color indexed="81"/>
            <rFont val="Tahoma"/>
            <family val="2"/>
          </rPr>
          <t>WITH screen_input AS (
    SELECT'20230131' AS std_ymd
        , 'DT00000' AS std_dealer
    FROM dual 
), with_param AS(
    SELECT std_ymd
        , to_char(add_months(to_date(std_ymd, 'YYYYMMDD'),-12), 'YYYYMMDD') AS ly_std_ymd
        , substr( to_char(add_months(to_date(std_ymd, 'YYYYMMDD'),-12), 'YYYYMMDD') , 1, 6) AS ly_std_ym
        , std_dealer
    FROM screen_input
)
SELECT holding_id
    , sum(decode(std_type, 'TY', actual_cps, 0)) AS actual_cps
    , sum(decode(std_type, 'TY', actual_bps, 0)) AS actual_bps
FROM (
        SELECT
            'TY' AS std_type
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, b.holding_id
            , a.std_dt
            , sum(CASE WHEN type3_cd = '1130' THEN sales_amt ELSE 0 END) AS actual_cps
            , sum(CASE WHEN type3_cd = '2210' THEN sales_amt ELSE 0 END) AS actual_bps
        FROM svc_daily_sales_report a
            , co_group b
            , with_param p
        WHERE 1=1
        AND a.shop_cd = b.group_id
        AND b.holding_id = p.std_dealer
        AND a.type3_cd IN ('1130', '2210')
        AND a.std_dt = p.std_ymd
        GROUP BY b.holding_id
            , a.std_dt
    )
WHERE 1=1
GROUP BY holding_id</t>
        </r>
      </text>
    </comment>
    <comment ref="O47" authorId="0" shapeId="0" xr:uid="{07DCEF9A-5E71-42C5-8446-4046A893C70E}">
      <text>
        <r>
          <rPr>
            <b/>
            <sz val="9"/>
            <color indexed="81"/>
            <rFont val="Tahoma"/>
            <family val="2"/>
          </rPr>
          <t>select sum(sales_amt)
from dms_svc_ro a
    left join dms_svc_ro_sales b
    on 1=1
    and a.dms_brand_cd = b.dms_brand_cd
    and a.group_id = b.group_id
    and a.propo_dt = b.propo_dt
    and a.propo_seq = b.propo_seq
where 1=1
and a.repair_type_cd = '1'
and (b.ro_type_cd = 'G' or b.ro_type_cd = 'I')
and a.dealer_id = 'DT00000'
and b.sales_dt between to_date('20230101', 'YYYYMMDD') and to_date('20230131', 'YYYYMMDD')
and a.stat_cd != '99'</t>
        </r>
      </text>
    </comment>
    <comment ref="P47" authorId="0" shapeId="0" xr:uid="{0A55CE7A-FAB4-4C44-AC11-00CDB99B8DD2}">
      <text>
        <r>
          <rPr>
            <b/>
            <sz val="9"/>
            <color indexed="81"/>
            <rFont val="Tahoma"/>
            <family val="2"/>
          </rPr>
          <t>select a.dealer_id
    , sum(b.sales_amt)
from dms_svc_ro a
    left outer join dms_svc_ro_sales b
    on 1=1
    and a.group_id = b.group_id
    and a.propo_dt = b.propo_dt
    and a.propo_seq = b.propo_seq
where 1=1
and (ro_type_cd = 'F'
     or ro_type_cd = 'Y'
     or (a.repair_type_cd = '1' and ro_type_cd = 'I')
     or (a.repair_type_cd = '1' and ro_type_cd = 'G'))
and a.dealer_id = 'DT00000'
and b.sales_dt between to_date('20230101', 'yyyymmdd') and to_date('20230131', 'yyyymmdd')
and a.stat_cd != '99'
group BY a.dealer_id</t>
        </r>
      </text>
    </comment>
    <comment ref="M48" authorId="0" shapeId="0" xr:uid="{A4126A17-285C-4CC6-95E9-B18E2C045768}">
      <text>
        <r>
          <rPr>
            <b/>
            <sz val="9"/>
            <color indexed="81"/>
            <rFont val="Tahoma"/>
            <family val="2"/>
          </rPr>
          <t>SELECT sum(sales_amt)
FROM SVC_DAILY_SALES_REPORT a
    , co_group b
WHERE 1=1
AND a.shop_cd = b.group_id
AND b.holding_id = 'DT00000'
AND type3_cd IN ('1117','1125')
AND std_dt = '20220131'</t>
        </r>
      </text>
    </comment>
    <comment ref="N48" authorId="0" shapeId="0" xr:uid="{0E5DF769-DF61-4273-B56F-DBB79A9292C9}">
      <text>
        <r>
          <rPr>
            <b/>
            <sz val="9"/>
            <color indexed="81"/>
            <rFont val="Tahoma"/>
            <family val="2"/>
          </rPr>
          <t>WITH screen_input AS (
    SELECT'20220131' AS std_ymd
        , 'DT00000' AS std_dealer
    FROM dual 
), with_param AS(
    SELECT std_ymd
        , to_char(add_months(to_date(std_ymd, 'YYYYMMDD'),-12), 'YYYYMMDD') AS ly_std_ymd
        , substr( to_char(add_months(to_date(std_ymd, 'YYYYMMDD'),-12), 'YYYYMMDD') , 1, 6) AS ly_std_ym
        , std_dealer
    FROM screen_input
)
SELECT holding_id
    , sum(decode(std_type, 'TY', actual_cps, 0)) AS actual_cps
    , sum(decode(std_type, 'TY', actual_bps, 0)) AS actual_bps
FROM (
        SELECT
            'TY' AS std_type
            --</t>
        </r>
        <r>
          <rPr>
            <b/>
            <sz val="9"/>
            <color indexed="81"/>
            <rFont val="돋움"/>
            <family val="3"/>
            <charset val="129"/>
          </rPr>
          <t xml:space="preserve">올해
</t>
        </r>
        <r>
          <rPr>
            <b/>
            <sz val="9"/>
            <color indexed="81"/>
            <rFont val="Tahoma"/>
            <family val="2"/>
          </rPr>
          <t xml:space="preserve">            , b.holding_id
            , a.std_dt
            , sum(CASE WHEN type3_cd = '1130' THEN sales_amt ELSE 0 END) AS actual_cps
            , sum(CASE WHEN type3_cd = '2210' THEN sales_amt ELSE 0 END) AS actual_bps
        FROM svc_daily_sales_report a
            , co_group b
            , with_param p
        WHERE 1=1
        AND a.shop_cd = b.group_id
        AND b.holding_id = p.std_dealer
        AND a.type3_cd IN ('1130', '2210')
        AND a.std_dt = p.std_ymd
        GROUP BY b.holding_id
            , a.std_dt
    )
WHERE 1=1
GROUP BY holding_id</t>
        </r>
      </text>
    </comment>
    <comment ref="O48" authorId="0" shapeId="0" xr:uid="{A520485F-B816-47AA-A37D-2D54DE3B4274}">
      <text>
        <r>
          <rPr>
            <b/>
            <sz val="9"/>
            <color indexed="81"/>
            <rFont val="Tahoma"/>
            <family val="2"/>
          </rPr>
          <t>select sum(sales_amt)
from dms_svc_ro a
    left join dms_svc_ro_sales b
    on 1=1
    and a.dms_brand_cd = b.dms_brand_cd
    and a.group_id = b.group_id
    and a.propo_dt = b.propo_dt
    and a.propo_seq = b.propo_seq
where 1=1
and a.repair_type_cd = '1'
and (b.ro_type_cd = 'G' or b.ro_type_cd = 'I')
and a.dealer_id = 'DT00000'
and b.sales_dt between to_date('20220101', 'YYYYMMDD') and to_date('20220131', 'YYYYMMDD')
and a.stat_cd != '99'</t>
        </r>
      </text>
    </comment>
    <comment ref="P48" authorId="0" shapeId="0" xr:uid="{E5C854DB-6DE3-4802-B767-23BA988DBE14}">
      <text>
        <r>
          <rPr>
            <b/>
            <sz val="9"/>
            <color indexed="81"/>
            <rFont val="Tahoma"/>
            <family val="2"/>
          </rPr>
          <t>select a.dealer_id
    , sum(b.sales_amt)
from dms_svc_ro a
    left outer join dms_svc_ro_sales b
    on 1=1
    and a.group_id = b.group_id
    and a.propo_dt = b.propo_dt
    and a.propo_seq = b.propo_seq
where 1=1
and (ro_type_cd = 'F'
     or ro_type_cd = 'Y'
     or (a.repair_type_cd = '1' and ro_type_cd = 'I')
     or (a.repair_type_cd = '1' and ro_type_cd = 'G'))
and a.dealer_id = 'DT00000'
and b.sales_dt between to_date('20220101', 'yyyymmdd') and to_date('20220131', 'yyyymmdd')
and a.stat_cd != '99'
group BY a.dealer_id</t>
        </r>
      </text>
    </comment>
    <comment ref="M52" authorId="0" shapeId="0" xr:uid="{B448D92E-957D-45D8-9260-3CB768F4E659}">
      <text>
        <r>
          <rPr>
            <b/>
            <sz val="9"/>
            <color indexed="81"/>
            <rFont val="Tahoma"/>
            <family val="2"/>
          </rPr>
          <t>SELECT SUM(BP_D_L_CNT) AS BP_D_L_CNT
FROM SVC_DAILY_UNIT_REPORT A
    , CO_GROUP B
WHERE 1=1
AND A.SHOP_CD = B.GROUP_ID
AND B.HOLDING_ID = 'DT00000'
AND A.STD_DT = '20230131'</t>
        </r>
      </text>
    </comment>
    <comment ref="O52" authorId="0" shapeId="0" xr:uid="{8A89A6F4-AC68-4422-8BC4-AF532F56E514}">
      <text>
        <r>
          <rPr>
            <b/>
            <sz val="9"/>
            <color indexed="81"/>
            <rFont val="Tahoma"/>
            <family val="2"/>
          </rPr>
          <t>select count(distinct a.group_id||a.propo_dt||a.vin)
from (select a.dms_brand_cd
          , a.dealer_id
          , a.group_id
          , a.propo_dt
          , a.propo_seq
          , a.repair_type_cd
          , a.vin
          , coalesce(sum(a.cnfm_labor_amt) over (partition by a.group_id, a.propo_dt, a.vin), 0) as sum_cnfm_labor_amt
      from dms_svc_ro a
      where 1=1
      and a.repair_type_cd = '2'
      and a.stat_cd != '99'
      group by a.dms_brand_cd
          , a.dealer_id
          , a.group_id
          , a.propo_dt
          , a.propo_seq
          , a.repair_type_cd
          , a.vin
          , a.cnfm_labor_amt) a
where 1=1
and a.propo_dt between '20230101' and '20230131'
and a.dealer_id = 'DT00000'
and a.sum_cnfm_labor_amt &lt; 1000000
--and a.sum_cnfm_labor_amt between 1000000 and 2000000
--and a.sum_cnfm_labor_amt &gt; 2000000</t>
        </r>
      </text>
    </comment>
    <comment ref="M53" authorId="0" shapeId="0" xr:uid="{795124AB-8A58-4570-A867-79863E8816F9}">
      <text>
        <r>
          <rPr>
            <b/>
            <sz val="9"/>
            <color indexed="81"/>
            <rFont val="Tahoma"/>
            <family val="2"/>
          </rPr>
          <t>SELECT SUM(BP_D_L_CNT) AS BP_D_L_CNT
FROM SVC_DAILY_UNIT_REPORT A
    , CO_GROUP B
WHERE 1=1
AND A.SHOP_CD = B.GROUP_ID
AND B.HOLDING_ID = 'DT00000'
AND A.STD_DT = '20230131'</t>
        </r>
      </text>
    </comment>
    <comment ref="N53" authorId="0" shapeId="0" xr:uid="{11B1E441-A748-4632-8CA9-66A3B99FB308}">
      <text>
        <r>
          <rPr>
            <b/>
            <sz val="9"/>
            <color indexed="81"/>
            <rFont val="Tahoma"/>
            <family val="2"/>
          </rPr>
          <t>SELECT SUM(BP_D_L_CNT) AS BP_D_L_CNT
FROM SVC_DAILY_UNIT_REPORT A
    , CO_GROUP B
WHERE 1=1
AND A.SHOP_CD = B.GROUP_ID
AND B.HOLDING_ID = 'DT00000'
AND A.STD_DT = '20220131'</t>
        </r>
      </text>
    </comment>
    <comment ref="O53" authorId="0" shapeId="0" xr:uid="{2E7D3F0C-8BB8-443E-BAF3-0C882D817122}">
      <text>
        <r>
          <rPr>
            <b/>
            <sz val="9"/>
            <color indexed="81"/>
            <rFont val="Tahoma"/>
            <family val="2"/>
          </rPr>
          <t>select count(distinct a.group_id||a.propo_dt||a.vin)
from (select a.dms_brand_cd
          , a.dealer_id
          , a.group_id
          , a.propo_dt
          , a.propo_seq
          , a.repair_type_cd
          , a.vin
          , coalesce(sum(a.cnfm_labor_amt) over (partition by a.group_id, a.propo_dt, a.vin), 0) as sum_cnfm_labor_amt
      from dms_svc_ro a
      where 1=1
      and a.repair_type_cd = '2'
      and a.stat_cd != '99'
      group by a.dms_brand_cd
          , a.dealer_id
          , a.group_id
          , a.propo_dt
          , a.propo_seq
          , a.repair_type_cd
          , a.vin
          , a.cnfm_labor_amt) a
where 1=1
and a.propo_dt between '20230101' and '20230131'
and a.dealer_id = 'DT00000'
and a.sum_cnfm_labor_amt &lt; 1000000
--and a.sum_cnfm_labor_amt between 1000000 and 2000000
--and a.sum_cnfm_labor_amt &gt; 2000000</t>
        </r>
      </text>
    </comment>
    <comment ref="P53" authorId="0" shapeId="0" xr:uid="{1231D4E9-CB9B-4B5F-B064-F1F850288432}">
      <text>
        <r>
          <rPr>
            <b/>
            <sz val="9"/>
            <color indexed="81"/>
            <rFont val="Tahoma"/>
            <family val="2"/>
          </rPr>
          <t>select count(distinct a.group_id||a.propo_dt||a.vin)
from (select a.dms_brand_cd
          , a.dealer_id
          , a.group_id
          , a.propo_dt
          , a.propo_seq
          , a.repair_type_cd
          , a.vin
          , coalesce(sum(a.cnfm_labor_amt) over (partition by a.group_id, a.propo_dt, a.vin), 0) as sum_cnfm_labor_amt
      from dms_svc_ro a
      where 1=1
      and a.repair_type_cd = '2'
      and a.stat_cd != '99'
      group by a.dms_brand_cd
          , a.dealer_id
          , a.group_id
          , a.propo_dt
          , a.propo_seq
          , a.repair_type_cd
          , a.vin
          , a.cnfm_labor_amt) a
where 1=1
and a.propo_dt between '20220101' and '20220131'
and a.dealer_id = 'DT00000'
and a.sum_cnfm_labor_amt &lt; 1000000
--and a.sum_cnfm_labor_amt between 1000000 and 2000000
--and a.sum_cnfm_labor_amt &gt; 2000000</t>
        </r>
      </text>
    </comment>
    <comment ref="M54" authorId="0" shapeId="0" xr:uid="{F6680623-9FCA-4E91-B655-B20D7455A482}">
      <text>
        <r>
          <rPr>
            <b/>
            <sz val="9"/>
            <color indexed="81"/>
            <rFont val="Tahoma"/>
            <family val="2"/>
          </rPr>
          <t>SELECT SUM(BP_D_M_CNT) AS BP_D_M_CNT
FROM SVC_DAILY_UNIT_REPORT A
    , CO_GROUP B
WHERE 1=1
AND A.SHOP_CD = B.GROUP_ID
AND B.HOLDING_ID = 'DT00000'
AND A.STD_DT = '20230131'</t>
        </r>
      </text>
    </comment>
    <comment ref="O54" authorId="0" shapeId="0" xr:uid="{424A8873-21CB-4636-9FA4-CF135A35F8C6}">
      <text>
        <r>
          <rPr>
            <b/>
            <sz val="9"/>
            <color indexed="81"/>
            <rFont val="Tahoma"/>
            <family val="2"/>
          </rPr>
          <t>select count(distinct a.group_id||a.propo_dt||a.vin)
from (select a.dms_brand_cd
          , a.dealer_id
          , a.group_id
          , a.propo_dt
          , a.propo_seq
          , a.repair_type_cd
          , a.vin
          , coalesce(sum(a.cnfm_labor_amt) over (partition by a.group_id, a.propo_dt, a.vin), 0) as sum_cnfm_labor_amt
      from dms_svc_ro a
      where 1=1
      and a.repair_type_cd = '2'
      and a.stat_cd != '99'
      group by a.dms_brand_cd
          , a.dealer_id
          , a.group_id
          , a.propo_dt
          , a.propo_seq
          , a.repair_type_cd
          , a.vin
          , a.cnfm_labor_amt) a
where 1=1
and a.propo_dt between '20230101' and '20230131'
and a.dealer_id = 'DT00000'
--and a.sum_cnfm_labor_amt &lt; 1000000
and a.sum_cnfm_labor_amt between 1000000 and 2000000
--and a.sum_cnfm_labor_amt &gt; 2000000</t>
        </r>
      </text>
    </comment>
    <comment ref="M55" authorId="0" shapeId="0" xr:uid="{80A8D96E-B430-4271-B5F9-9CCDEE7C6C89}">
      <text>
        <r>
          <rPr>
            <b/>
            <sz val="9"/>
            <color indexed="81"/>
            <rFont val="Tahoma"/>
            <family val="2"/>
          </rPr>
          <t>SELECT SUM(BP_D_M_CNT) AS BP_D_M_CNT
FROM SVC_DAILY_UNIT_REPORT A
    , CO_GROUP B
WHERE 1=1
AND A.SHOP_CD = B.GROUP_ID
AND B.HOLDING_ID = 'DT00000'
AND A.STD_DT = '20230131'</t>
        </r>
      </text>
    </comment>
    <comment ref="N55" authorId="0" shapeId="0" xr:uid="{3EB4FAB1-6A90-477F-A50F-CCEAA1984381}">
      <text>
        <r>
          <rPr>
            <b/>
            <sz val="9"/>
            <color indexed="81"/>
            <rFont val="Tahoma"/>
            <family val="2"/>
          </rPr>
          <t>SELECT SUM(BP_D_M_CNT) AS BP_D_M_CNT
FROM SVC_DAILY_UNIT_REPORT A
    , CO_GROUP B
WHERE 1=1
AND A.SHOP_CD = B.GROUP_ID
AND B.HOLDING_ID = 'DT00000'
AND A.STD_DT = '20220131'</t>
        </r>
      </text>
    </comment>
    <comment ref="O55" authorId="0" shapeId="0" xr:uid="{056B85B3-93F6-421D-B695-2D8C9EAABF06}">
      <text>
        <r>
          <rPr>
            <b/>
            <sz val="9"/>
            <color indexed="81"/>
            <rFont val="Tahoma"/>
            <family val="2"/>
          </rPr>
          <t>select count(distinct a.group_id||a.propo_dt||a.vin)
from (select a.dms_brand_cd
          , a.dealer_id
          , a.group_id
          , a.propo_dt
          , a.propo_seq
          , a.repair_type_cd
          , a.vin
          , coalesce(sum(a.cnfm_labor_amt) over (partition by a.group_id, a.propo_dt, a.vin), 0) as sum_cnfm_labor_amt
      from dms_svc_ro a
      where 1=1
      and a.repair_type_cd = '2'
      and a.stat_cd != '99'
      group by a.dms_brand_cd
          , a.dealer_id
          , a.group_id
          , a.propo_dt
          , a.propo_seq
          , a.repair_type_cd
          , a.vin
          , a.cnfm_labor_amt) a
where 1=1
and a.propo_dt between '20230101' and '20230131'
and a.dealer_id = 'DT00000'
--and a.sum_cnfm_labor_amt &lt; 1000000
and a.sum_cnfm_labor_amt between 1000000 and 2000000
--and a.sum_cnfm_labor_amt &gt; 2000000</t>
        </r>
      </text>
    </comment>
    <comment ref="P55" authorId="0" shapeId="0" xr:uid="{12AD924F-8EDC-489A-BC4D-30D5CBAE0BB8}">
      <text>
        <r>
          <rPr>
            <b/>
            <sz val="9"/>
            <color indexed="81"/>
            <rFont val="Tahoma"/>
            <family val="2"/>
          </rPr>
          <t>select count(distinct a.group_id||a.propo_dt||a.vin)
from (select a.dms_brand_cd
          , a.dealer_id
          , a.group_id
          , a.propo_dt
          , a.propo_seq
          , a.repair_type_cd
          , a.vin
          , coalesce(sum(a.cnfm_labor_amt) over (partition by a.group_id, a.propo_dt, a.vin), 0) as sum_cnfm_labor_amt
      from dms_svc_ro a
      where 1=1
      and a.repair_type_cd = '2'
      and a.stat_cd != '99'
      group by a.dms_brand_cd
          , a.dealer_id
          , a.group_id
          , a.propo_dt
          , a.propo_seq
          , a.repair_type_cd
          , a.vin
          , a.cnfm_labor_amt) a
where 1=1
and a.propo_dt between '20220101' and '20220131'
and a.dealer_id = 'DT00000'
--and a.sum_cnfm_labor_amt &lt; 1000000
and a.sum_cnfm_labor_amt between 1000000 and 2000000
--and a.sum_cnfm_labor_amt &gt; 2000000</t>
        </r>
      </text>
    </comment>
    <comment ref="M56" authorId="0" shapeId="0" xr:uid="{B3985921-5991-4E78-B348-BCCB141586AD}">
      <text>
        <r>
          <rPr>
            <b/>
            <sz val="9"/>
            <color indexed="81"/>
            <rFont val="Tahoma"/>
            <family val="2"/>
          </rPr>
          <t>SELECT SUM(BP_D_H_CNT) AS BP_D_H_CNT
FROM SVC_DAILY_UNIT_REPORT A
    , CO_GROUP B
WHERE 1=1
AND A.SHOP_CD = B.GROUP_ID
AND B.HOLDING_ID = 'DT00000'
AND A.STD_DT = '20230131'</t>
        </r>
      </text>
    </comment>
    <comment ref="O56" authorId="0" shapeId="0" xr:uid="{0FE44B89-75D4-4E47-AB51-95AA439D9278}">
      <text>
        <r>
          <rPr>
            <b/>
            <sz val="9"/>
            <color indexed="81"/>
            <rFont val="Tahoma"/>
            <family val="2"/>
          </rPr>
          <t>select count(distinct a.group_id||a.propo_dt||a.vin)
from (select a.dms_brand_cd
          , a.dealer_id
          , a.group_id
          , a.propo_dt
          , a.propo_seq
          , a.repair_type_cd
          , a.vin
          , coalesce(sum(a.cnfm_labor_amt) over (partition by a.group_id, a.propo_dt, a.vin), 0) as sum_cnfm_labor_amt
      from dms_svc_ro a
      where 1=1
      and a.repair_type_cd = '2'
      and a.stat_cd != '99'
      group by a.dms_brand_cd
          , a.dealer_id
          , a.group_id
          , a.propo_dt
          , a.propo_seq
          , a.repair_type_cd
          , a.vin
          , a.cnfm_labor_amt) a
where 1=1
and a.propo_dt between '20230101' and '20230131'
and a.dealer_id = 'DT00000'
--and a.sum_cnfm_labor_amt &lt; 1000000
--and a.sum_cnfm_labor_amt between 1000000 and 2000000
and a.sum_cnfm_labor_amt &gt; 2000000</t>
        </r>
      </text>
    </comment>
    <comment ref="M57" authorId="0" shapeId="0" xr:uid="{6BCAC4A9-534B-4568-8BF9-88FE7629A4B4}">
      <text>
        <r>
          <rPr>
            <b/>
            <sz val="9"/>
            <color indexed="81"/>
            <rFont val="Tahoma"/>
            <family val="2"/>
          </rPr>
          <t>SELECT SUM(BP_D_H_CNT) AS BP_D_H_CNT
FROM SVC_DAILY_UNIT_REPORT A
    , CO_GROUP B
WHERE 1=1
AND A.SHOP_CD = B.GROUP_ID
AND B.HOLDING_ID = 'DT00000'
AND A.STD_DT = '20230131'</t>
        </r>
      </text>
    </comment>
    <comment ref="N57" authorId="0" shapeId="0" xr:uid="{02B8D8F8-EF4D-40B0-9E7B-19C95B2670D3}">
      <text>
        <r>
          <rPr>
            <b/>
            <sz val="9"/>
            <color indexed="81"/>
            <rFont val="Tahoma"/>
            <family val="2"/>
          </rPr>
          <t>SELECT SUM(BP_D_H_CNT) AS BP_D_H_CNT
FROM SVC_DAILY_UNIT_REPORT A
    , CO_GROUP B
WHERE 1=1
AND A.SHOP_CD = B.GROUP_ID
AND B.HOLDING_ID = 'DT00000'
AND A.STD_DT = '20220131'</t>
        </r>
      </text>
    </comment>
    <comment ref="O57" authorId="0" shapeId="0" xr:uid="{F5E039E9-77D3-4B00-AFD2-F3849DC31EB6}">
      <text>
        <r>
          <rPr>
            <b/>
            <sz val="9"/>
            <color indexed="81"/>
            <rFont val="Tahoma"/>
            <family val="2"/>
          </rPr>
          <t>select count(distinct a.group_id||a.propo_dt||a.vin)
from (select a.dms_brand_cd
          , a.dealer_id
          , a.group_id
          , a.propo_dt
          , a.propo_seq
          , a.repair_type_cd
          , a.vin
          , coalesce(sum(a.cnfm_labor_amt) over (partition by a.group_id, a.propo_dt, a.vin), 0) as sum_cnfm_labor_amt
      from dms_svc_ro a
      where 1=1
      and a.repair_type_cd = '2'
      and a.stat_cd != '99'
      group by a.dms_brand_cd
          , a.dealer_id
          , a.group_id
          , a.propo_dt
          , a.propo_seq
          , a.repair_type_cd
          , a.vin
          , a.cnfm_labor_amt) a
where 1=1
and a.propo_dt between '20230101' and '20230131'
and a.dealer_id = 'DT00000'
--and a.sum_cnfm_labor_amt &lt; 1000000
--and a.sum_cnfm_labor_amt between 1000000 and 2000000
and a.sum_cnfm_labor_amt &gt; 2000000</t>
        </r>
      </text>
    </comment>
    <comment ref="P57" authorId="0" shapeId="0" xr:uid="{FB82E9E1-E0EA-440B-8B82-400A2C3894AA}">
      <text>
        <r>
          <rPr>
            <b/>
            <sz val="9"/>
            <color indexed="81"/>
            <rFont val="Tahoma"/>
            <family val="2"/>
          </rPr>
          <t>select count(distinct a.group_id||a.propo_dt||a.vin)
from (select a.dms_brand_cd
          , a.dealer_id
          , a.group_id
          , a.propo_dt
          , a.propo_seq
          , a.repair_type_cd
          , a.vin
          , coalesce(sum(a.cnfm_labor_amt) over (partition by a.group_id, a.propo_dt, a.vin), 0) as sum_cnfm_labor_amt
      from dms_svc_ro a
      where 1=1
      and a.repair_type_cd = '2'
      and a.stat_cd != '99'
      group by a.dms_brand_cd
          , a.dealer_id
          , a.group_id
          , a.propo_dt
          , a.propo_seq
          , a.repair_type_cd
          , a.vin
          , a.cnfm_labor_amt) a
where 1=1
and a.propo_dt between '20220101' and '20220131'
and a.dealer_id = 'DT00000'
--and a.sum_cnfm_labor_amt &lt; 1000000
--and a.sum_cnfm_labor_amt between 1000000 and 2000000
and a.sum_cnfm_labor_amt &gt; 2000000</t>
        </r>
      </text>
    </comment>
    <comment ref="M58" authorId="0" shapeId="0" xr:uid="{2C1E9EC3-D606-4F85-85C2-4BCAE93190B6}">
      <text>
        <r>
          <rPr>
            <b/>
            <sz val="9"/>
            <color indexed="81"/>
            <rFont val="Tahoma"/>
            <family val="2"/>
          </rPr>
          <t xml:space="preserve">WITH SCREEN_INPUT AS (
    SELECT  '202301' AS APP_YM
        , '202301' AS STD_YM
        , '202301' AS STD_FS_YM
        , '202301' AS FS_APP_YM
        , 'DT00000' AS HOLDING_ID
        , '' AS SHOP_CD 
    FROM DUAL
), WITH_PARAM AS (
    SELECT  REPLACE(APP_YM,'-') AS APP_YM
        , TO_CHAR(TRUNC(ADD_MONTHS(TO_DATE(REPLACE(APP_YM,'-'),'YYYYMM'),-12),'YEAR'),'YYYYMM') AS APP_PREV_YEAR_SRT_MM
        , TO_CHAR(ADD_MONTHS(TO_DATE(REPLACE(APP_YM,'-'),'YYYYMM'),-12),'YYYY') AS APP_PREV_YEAR
        , HOLDING_ID AS HOLDING_ID
        , SHOP_CD AS SHOP_CD         
    FROM SCREEN_INPUT
)
SELECT SUM(CASE WHEN A.TYPE3_CD IN ('2121') 
               THEN A.SALES_AMT
          END) AS BP_D_L_AMT
--    , SUM(CASE WHEN A.TYPE3_CD IN ('2122') 
--               THEN A.SALES_AMT
--          END) AS BP_D_M_AMT
--    , SUM(CASE WHEN A.TYPE3_CD IN ('2123')
--               THEN A.SALES_AMT
--          END) AS BP_D_H_AMT                                                  
FROM        SVC_DAILY_SALES_REPORT A
            , CO_GROUP B
            , WITH_PARAM P
WHERE      1=1
AND         A.STD_DT IN (   
                SELECT      ADD_MONTHS( TO_DATE(P.APP_PREV_YEAR || '1231', 'yyyymmdd'), ROWNUM)
                FROM        DUAL
                CONNECT BY  LEVEL &lt; 13
                UNION ALL
                SELECT      ADD_MONTHS( TO_DATE(P.APP_PREV_YEAR-1 || '1231', 'yyyymmdd'), ROWNUM)
                FROM        DUAL
                CONNECT BY  LEVEL &lt; 13
)
AND         A.SHOP_CD = B.GROUP_ID
AND         (P.HOLDING_ID IS NULL OR B.HOLDING_ID = P.HOLDING_ID)
AND         (P.SHOP_CD IS NULL OR B.GROUP_ID = P.SHOP_CD)
AND         A.TYPE3_CD IN ('2110', '2115','2121','2122','2123')
AND         SUBSTR(A.STD_DT, 0, 6) BETWEEN P.APP_PREV_YEAR_SRT_MM AND P.APP_YM
AND SUBSTR(A.STD_DT, 0, 8) = '20230131'
AND SUBSTR(A.STD_DT, 0, 6) = '202301'
GROUP BY    NVL2(P.HOLDING_ID, B.HOLDING_ID, 'TT'), NVL2(P.SHOP_CD, B.GROUP_ID, 'TT'), A.STD_DT
</t>
        </r>
      </text>
    </comment>
    <comment ref="O58" authorId="0" shapeId="0" xr:uid="{345126A8-CBDF-4DDC-ACAF-7A4CD8E2C69E}">
      <text>
        <r>
          <rPr>
            <b/>
            <sz val="9"/>
            <color indexed="81"/>
            <rFont val="Tahoma"/>
            <family val="2"/>
          </rPr>
          <t>select sum(b.sales_amt)
from (
    select a.dms_brand_cd
          , a.dealer_id
          , a.group_id
          , a.propo_dt
          , a.propo_seq
          , a.repair_type_cd
          , a.vin
          , sum(a.cnfm_labor_amt) over (partition by a.group_id, a.propo_dt, a.propo_seq) as sum_cnfm_labor_amt
      from dms_svc_ro a
      where 1=1
      and a.repair_type_cd = '2'
      and a.stat_cd != '99'
      group by a.dms_brand_cd
          , a.dealer_id
          , a.group_id
          , a.propo_dt
          , a.propo_seq
          , a.repair_type_cd
          , a.vin
          , a.cnfm_labor_amt) a
    left join dms_svc_ro_sales b
    on 1=1
    and a.dms_brand_cd = b.dms_brand_cd
    and a.group_id = b.group_id
    and a.propo_dt = b.propo_dt
    and a.propo_seq = b.propo_seq
--    and ro_type_cd IN ('I', 'G')
where 1=1
and to_char(b.sales_dt, 'yyyymm') = '202301' 
and a.dealer_id = 'DT00000'
and a.sum_cnfm_labor_amt &lt; 1000000
--and a.sum_cnfm_labor_amt between 1000000 AND 2000000
--and a.sum_cnfm_labor_amt  &gt; 2000000</t>
        </r>
      </text>
    </comment>
    <comment ref="M59" authorId="0" shapeId="0" xr:uid="{9B1ABD26-E0C9-4AC7-B00F-F728BF9789ED}">
      <text>
        <r>
          <rPr>
            <b/>
            <sz val="9"/>
            <color indexed="81"/>
            <rFont val="Tahoma"/>
            <family val="2"/>
          </rPr>
          <t xml:space="preserve">WITH SCREEN_INPUT AS (
    SELECT  '202301' AS APP_YM
        , '202301' AS STD_YM
        , '202301' AS STD_FS_YM
        , '202301' AS FS_APP_YM
        , 'DT00000' AS HOLDING_ID
        , '' AS SHOP_CD 
    FROM DUAL
), WITH_PARAM AS (
    SELECT  REPLACE(APP_YM,'-') AS APP_YM
        , TO_CHAR(TRUNC(ADD_MONTHS(TO_DATE(REPLACE(APP_YM,'-'),'YYYYMM'),-12),'YEAR'),'YYYYMM') AS APP_PREV_YEAR_SRT_MM
        , TO_CHAR(ADD_MONTHS(TO_DATE(REPLACE(APP_YM,'-'),'YYYYMM'),-12),'YYYY') AS APP_PREV_YEAR
        , HOLDING_ID AS HOLDING_ID
        , SHOP_CD AS SHOP_CD         
    FROM SCREEN_INPUT
)
SELECT SUM(CASE WHEN A.TYPE3_CD IN ('2121') 
               THEN A.SALES_AMT
          END) AS BP_D_L_AMT
--    , SUM(CASE WHEN A.TYPE3_CD IN ('2122') 
--               THEN A.SALES_AMT
--          END) AS BP_D_M_AMT
--    , SUM(CASE WHEN A.TYPE3_CD IN ('2123')
--               THEN A.SALES_AMT
--          END) AS BP_D_H_AMT                                                  
FROM        SVC_DAILY_SALES_REPORT A
            , CO_GROUP B
            , WITH_PARAM P
WHERE      1=1
AND         A.STD_DT IN (   
                SELECT      ADD_MONTHS( TO_DATE(P.APP_PREV_YEAR || '1231', 'yyyymmdd'), ROWNUM)
                FROM        DUAL
                CONNECT BY  LEVEL &lt; 13
                UNION ALL
                SELECT      ADD_MONTHS( TO_DATE(P.APP_PREV_YEAR-1 || '1231', 'yyyymmdd'), ROWNUM)
                FROM        DUAL
                CONNECT BY  LEVEL &lt; 13
)
AND         A.SHOP_CD = B.GROUP_ID
AND         (P.HOLDING_ID IS NULL OR B.HOLDING_ID = P.HOLDING_ID)
AND         (P.SHOP_CD IS NULL OR B.GROUP_ID = P.SHOP_CD)
AND         A.TYPE3_CD IN ('2110', '2115','2121','2122','2123')
AND         SUBSTR(A.STD_DT, 0, 6) BETWEEN P.APP_PREV_YEAR_SRT_MM AND P.APP_YM
AND SUBSTR(A.STD_DT, 0, 8) = '20230131'
AND SUBSTR(A.STD_DT, 0, 6) = '202301'
GROUP BY    NVL2(P.HOLDING_ID, B.HOLDING_ID, 'TT'), NVL2(P.SHOP_CD, B.GROUP_ID, 'TT'), A.STD_DT
</t>
        </r>
      </text>
    </comment>
    <comment ref="N59" authorId="0" shapeId="0" xr:uid="{8ACB4C11-72F0-403E-8CF8-312817439618}">
      <text>
        <r>
          <rPr>
            <b/>
            <sz val="9"/>
            <color indexed="81"/>
            <rFont val="Tahoma"/>
            <family val="2"/>
          </rPr>
          <t xml:space="preserve">WITH SCREEN_INPUT AS (
    SELECT  '202201' AS APP_YM
        , '202201' AS STD_YM
        , '202201' AS STD_FS_YM
        , '202201' AS FS_APP_YM
        , 'DT00000' AS HOLDING_ID
        , '' AS SHOP_CD 
    FROM DUAL
), WITH_PARAM AS (
    SELECT  REPLACE(APP_YM,'-') AS APP_YM
        , TO_CHAR(TRUNC(ADD_MONTHS(TO_DATE(REPLACE(APP_YM,'-'),'YYYYMM'),-12),'YEAR'),'YYYYMM') AS APP_PREV_YEAR_SRT_MM
        , TO_CHAR(ADD_MONTHS(TO_DATE(REPLACE(APP_YM,'-'),'YYYYMM'),-12),'YYYY') AS APP_PREV_YEAR
        , HOLDING_ID AS HOLDING_ID
        , SHOP_CD AS SHOP_CD         
    FROM SCREEN_INPUT
)
SELECT 
    SUM(CASE WHEN A.TYPE3_CD IN ('2121') 
               THEN A.SALES_AMT
          END) AS BP_D_L_AMT
--    SUM(CASE WHEN A.TYPE3_CD IN ('2122') 
--               THEN A.SALES_AMT
--          END) AS BP_D_M_AMT
--    SUM(CASE WHEN A.TYPE3_CD IN ('2123')
--               THEN A.SALES_AMT
--          END) AS BP_D_H_AMT                                                  
FROM        SVC_DAILY_SALES_REPORT A
            , CO_GROUP B
            , WITH_PARAM P
WHERE      1=1
AND         A.STD_DT IN (   
                SELECT      ADD_MONTHS( TO_DATE(P.APP_PREV_YEAR || '1231', 'yyyymmdd'), ROWNUM)
                FROM        DUAL
                CONNECT BY  LEVEL &lt; 13
                UNION ALL
                SELECT      ADD_MONTHS( TO_DATE(P.APP_PREV_YEAR-1 || '1231', 'yyyymmdd'), ROWNUM)
                FROM        DUAL
                CONNECT BY  LEVEL &lt; 13
)
AND         A.SHOP_CD = B.GROUP_ID
AND         (P.HOLDING_ID IS NULL OR B.HOLDING_ID = P.HOLDING_ID)
AND         (P.SHOP_CD IS NULL OR B.GROUP_ID = P.SHOP_CD)
AND         A.TYPE3_CD IN ('2110', '2115','2121','2122','2123')
AND         SUBSTR(A.STD_DT, 0, 6) BETWEEN P.APP_PREV_YEAR_SRT_MM AND P.APP_YM
AND SUBSTR(A.STD_DT, 0, 8) = '20220131'
AND SUBSTR(A.STD_DT, 0, 6) = '202201'
GROUP BY    NVL2(P.HOLDING_ID, B.HOLDING_ID, 'TT'), NVL2(P.SHOP_CD, B.GROUP_ID, 'TT'), A.STD_DT
</t>
        </r>
      </text>
    </comment>
    <comment ref="O59" authorId="0" shapeId="0" xr:uid="{04A28796-9CDD-4D07-A0FA-F15AABD6B412}">
      <text>
        <r>
          <rPr>
            <b/>
            <sz val="9"/>
            <color indexed="81"/>
            <rFont val="Tahoma"/>
            <family val="2"/>
          </rPr>
          <t>select sum(b.sales_amt)
from (
    select a.dms_brand_cd
          , a.dealer_id
          , a.group_id
          , a.propo_dt
          , a.propo_seq
          , a.repair_type_cd
          , a.vin
          , sum(a.cnfm_labor_amt) over (partition by a.group_id, a.propo_dt, a.propo_seq) as sum_cnfm_labor_amt
      from dms_svc_ro a
      where 1=1
      and a.repair_type_cd = '2'
      and a.stat_cd != '99'
      group by a.dms_brand_cd
          , a.dealer_id
          , a.group_id
          , a.propo_dt
          , a.propo_seq
          , a.repair_type_cd
          , a.vin
          , a.cnfm_labor_amt) a
    left join dms_svc_ro_sales b
    on 1=1
    and a.dms_brand_cd = b.dms_brand_cd
    and a.group_id = b.group_id
    and a.propo_dt = b.propo_dt
    and a.propo_seq = b.propo_seq
--    and ro_type_cd IN ('I', 'G')
where 1=1
and to_char(b.sales_dt, 'yyyymm') = '202301' 
and a.dealer_id = 'DT00000'
and a.sum_cnfm_labor_amt &lt; 1000000
--and a.sum_cnfm_labor_amt between 1000000 AND 2000000
--and a.sum_cnfm_labor_amt  &gt; 2000000</t>
        </r>
      </text>
    </comment>
    <comment ref="P59" authorId="0" shapeId="0" xr:uid="{C9FA7F78-B0D6-4A0E-9BE4-B391C60D4621}">
      <text>
        <r>
          <rPr>
            <b/>
            <sz val="9"/>
            <color indexed="81"/>
            <rFont val="Tahoma"/>
            <family val="2"/>
          </rPr>
          <t>select sum(b.sales_amt)
from (
    select a.dms_brand_cd
          , a.dealer_id
          , a.group_id
          , a.propo_dt
          , a.propo_seq
          , a.repair_type_cd
          , a.vin
          , sum(a.cnfm_labor_amt) over (partition by a.group_id, a.propo_dt, a.propo_seq) as sum_cnfm_labor_amt
      from dms_svc_ro a
      where 1=1
      and a.repair_type_cd = '2'
      and a.stat_cd != '99'
      group by a.dms_brand_cd
          , a.dealer_id
          , a.group_id
          , a.propo_dt
          , a.propo_seq
          , a.repair_type_cd
          , a.vin
          , a.cnfm_labor_amt) a
    left join dms_svc_ro_sales b
    on 1=1
    and a.dms_brand_cd = b.dms_brand_cd
    and a.group_id = b.group_id
    and a.propo_dt = b.propo_dt
    and a.propo_seq = b.propo_seq
--    and ro_type_cd IN ('I', 'G')
where 1=1
and to_char(b.sales_dt, 'yyyymm') = '202201' 
and a.dealer_id = 'DT00000'
and a.sum_cnfm_labor_amt &lt; 1000000
--and a.sum_cnfm_labor_amt between 1000000 AND 2000000
--and a.sum_cnfm_labor_amt  &gt; 2000000</t>
        </r>
      </text>
    </comment>
    <comment ref="M60" authorId="0" shapeId="0" xr:uid="{664A86C0-E736-479D-B2B1-4F175C1EE9CB}">
      <text>
        <r>
          <rPr>
            <b/>
            <sz val="9"/>
            <color indexed="81"/>
            <rFont val="Tahoma"/>
            <family val="2"/>
          </rPr>
          <t xml:space="preserve">WITH SCREEN_INPUT AS (
    SELECT  '202301' AS APP_YM
        , '202301' AS STD_YM
        , '202301' AS STD_FS_YM
        , '202301' AS FS_APP_YM
        , 'DT00000' AS HOLDING_ID
        , '' AS SHOP_CD 
    FROM DUAL
), WITH_PARAM AS (
    SELECT  REPLACE(APP_YM,'-') AS APP_YM
        , TO_CHAR(TRUNC(ADD_MONTHS(TO_DATE(REPLACE(APP_YM,'-'),'YYYYMM'),-12),'YEAR'),'YYYYMM') AS APP_PREV_YEAR_SRT_MM
        , TO_CHAR(ADD_MONTHS(TO_DATE(REPLACE(APP_YM,'-'),'YYYYMM'),-12),'YYYY') AS APP_PREV_YEAR
        , HOLDING_ID AS HOLDING_ID
        , SHOP_CD AS SHOP_CD         
    FROM SCREEN_INPUT
)
SELECT 
--    SUM(CASE WHEN A.TYPE3_CD IN ('2121') 
--               THEN A.SALES_AMT
--          END) AS BP_D_L_AMT
    SUM(CASE WHEN A.TYPE3_CD IN ('2122') 
               THEN A.SALES_AMT
          END) AS BP_D_M_AMT
--    SUM(CASE WHEN A.TYPE3_CD IN ('2123')
--               THEN A.SALES_AMT
--          END) AS BP_D_H_AMT                                                  
FROM        SVC_DAILY_SALES_REPORT A
            , CO_GROUP B
            , WITH_PARAM P
WHERE      1=1
AND         A.STD_DT IN (   
                SELECT      ADD_MONTHS( TO_DATE(P.APP_PREV_YEAR || '1231', 'yyyymmdd'), ROWNUM)
                FROM        DUAL
                CONNECT BY  LEVEL &lt; 13
                UNION ALL
                SELECT      ADD_MONTHS( TO_DATE(P.APP_PREV_YEAR-1 || '1231', 'yyyymmdd'), ROWNUM)
                FROM        DUAL
                CONNECT BY  LEVEL &lt; 13
)
AND         A.SHOP_CD = B.GROUP_ID
AND         (P.HOLDING_ID IS NULL OR B.HOLDING_ID = P.HOLDING_ID)
AND         (P.SHOP_CD IS NULL OR B.GROUP_ID = P.SHOP_CD)
AND         A.TYPE3_CD IN ('2110', '2115','2121','2122','2123')
AND         SUBSTR(A.STD_DT, 0, 6) BETWEEN P.APP_PREV_YEAR_SRT_MM AND P.APP_YM
AND SUBSTR(A.STD_DT, 0, 8) = '20230131'
AND SUBSTR(A.STD_DT, 0, 6) = '202301'
GROUP BY    NVL2(P.HOLDING_ID, B.HOLDING_ID, 'TT'), NVL2(P.SHOP_CD, B.GROUP_ID, 'TT'), A.STD_DT
</t>
        </r>
      </text>
    </comment>
    <comment ref="O60" authorId="0" shapeId="0" xr:uid="{C3F934B9-F69A-4D34-AF31-F2258964E6F5}">
      <text>
        <r>
          <rPr>
            <b/>
            <sz val="9"/>
            <color indexed="81"/>
            <rFont val="Tahoma"/>
            <family val="2"/>
          </rPr>
          <t>select sum(b.sales_amt)
from (
    select a.dms_brand_cd
          , a.dealer_id
          , a.group_id
          , a.propo_dt
          , a.propo_seq
          , a.repair_type_cd
          , a.vin
          , sum(a.cnfm_labor_amt) over (partition by a.group_id, a.propo_dt, a.propo_seq) as sum_cnfm_labor_amt
      from dms_svc_ro a
      where 1=1
      and a.repair_type_cd = '2'
      and a.stat_cd != '99'
      group by a.dms_brand_cd
          , a.dealer_id
          , a.group_id
          , a.propo_dt
          , a.propo_seq
          , a.repair_type_cd
          , a.vin
          , a.cnfm_labor_amt) a
    left join dms_svc_ro_sales b
    on 1=1
    and a.dms_brand_cd = b.dms_brand_cd
    and a.group_id = b.group_id
    and a.propo_dt = b.propo_dt
    and a.propo_seq = b.propo_seq
--    and ro_type_cd IN ('I', 'G')
where 1=1
and to_char(b.sales_dt, 'yyyymm') = '202301' 
and a.dealer_id = 'DT00000'
--and a.sum_cnfm_labor_amt &lt; 1000000
and a.sum_cnfm_labor_amt between 1000000 AND 2000000
--and a.sum_cnfm_labor_amt  &gt; 2000000</t>
        </r>
      </text>
    </comment>
    <comment ref="M61" authorId="0" shapeId="0" xr:uid="{F2E6B88E-85B6-4863-A828-D9E1E213ADCA}">
      <text>
        <r>
          <rPr>
            <b/>
            <sz val="9"/>
            <color indexed="81"/>
            <rFont val="Tahoma"/>
            <family val="2"/>
          </rPr>
          <t xml:space="preserve">WITH SCREEN_INPUT AS (
    SELECT  '202301' AS APP_YM
        , '202301' AS STD_YM
        , '202301' AS STD_FS_YM
        , '202301' AS FS_APP_YM
        , 'DT00000' AS HOLDING_ID
        , '' AS SHOP_CD 
    FROM DUAL
), WITH_PARAM AS (
    SELECT  REPLACE(APP_YM,'-') AS APP_YM
        , TO_CHAR(TRUNC(ADD_MONTHS(TO_DATE(REPLACE(APP_YM,'-'),'YYYYMM'),-12),'YEAR'),'YYYYMM') AS APP_PREV_YEAR_SRT_MM
        , TO_CHAR(ADD_MONTHS(TO_DATE(REPLACE(APP_YM,'-'),'YYYYMM'),-12),'YYYY') AS APP_PREV_YEAR
        , HOLDING_ID AS HOLDING_ID
        , SHOP_CD AS SHOP_CD         
    FROM SCREEN_INPUT
)
SELECT 
--    SUM(CASE WHEN A.TYPE3_CD IN ('2121') 
--               THEN A.SALES_AMT
--          END) AS BP_D_L_AMT
    SUM(CASE WHEN A.TYPE3_CD IN ('2122') 
               THEN A.SALES_AMT
          END) AS BP_D_M_AMT
--    SUM(CASE WHEN A.TYPE3_CD IN ('2123')
--               THEN A.SALES_AMT
--          END) AS BP_D_H_AMT                                                  
FROM        SVC_DAILY_SALES_REPORT A
            , CO_GROUP B
            , WITH_PARAM P
WHERE      1=1
AND         A.STD_DT IN (   
                SELECT      ADD_MONTHS( TO_DATE(P.APP_PREV_YEAR || '1231', 'yyyymmdd'), ROWNUM)
                FROM        DUAL
                CONNECT BY  LEVEL &lt; 13
                UNION ALL
                SELECT      ADD_MONTHS( TO_DATE(P.APP_PREV_YEAR-1 || '1231', 'yyyymmdd'), ROWNUM)
                FROM        DUAL
                CONNECT BY  LEVEL &lt; 13
)
AND         A.SHOP_CD = B.GROUP_ID
AND         (P.HOLDING_ID IS NULL OR B.HOLDING_ID = P.HOLDING_ID)
AND         (P.SHOP_CD IS NULL OR B.GROUP_ID = P.SHOP_CD)
AND         A.TYPE3_CD IN ('2110', '2115','2121','2122','2123')
AND         SUBSTR(A.STD_DT, 0, 6) BETWEEN P.APP_PREV_YEAR_SRT_MM AND P.APP_YM
AND SUBSTR(A.STD_DT, 0, 8) = '20230131'
AND SUBSTR(A.STD_DT, 0, 6) = '202301'
GROUP BY    NVL2(P.HOLDING_ID, B.HOLDING_ID, 'TT'), NVL2(P.SHOP_CD, B.GROUP_ID, 'TT'), A.STD_DT
</t>
        </r>
      </text>
    </comment>
    <comment ref="N61" authorId="0" shapeId="0" xr:uid="{1EF52537-D089-4B01-AB37-D9FCA40BCC08}">
      <text>
        <r>
          <rPr>
            <b/>
            <sz val="9"/>
            <color indexed="81"/>
            <rFont val="Tahoma"/>
            <family val="2"/>
          </rPr>
          <t xml:space="preserve">WITH SCREEN_INPUT AS (
    SELECT  '202201' AS APP_YM
        , '202201' AS STD_YM
        , '202201' AS STD_FS_YM
        , '202201' AS FS_APP_YM
        , 'DT00000' AS HOLDING_ID
        , '' AS SHOP_CD 
    FROM DUAL
), WITH_PARAM AS (
    SELECT  REPLACE(APP_YM,'-') AS APP_YM
        , TO_CHAR(TRUNC(ADD_MONTHS(TO_DATE(REPLACE(APP_YM,'-'),'YYYYMM'),-12),'YEAR'),'YYYYMM') AS APP_PREV_YEAR_SRT_MM
        , TO_CHAR(ADD_MONTHS(TO_DATE(REPLACE(APP_YM,'-'),'YYYYMM'),-12),'YYYY') AS APP_PREV_YEAR
        , HOLDING_ID AS HOLDING_ID
        , SHOP_CD AS SHOP_CD         
    FROM SCREEN_INPUT
)
SELECT 
--    SUM(CASE WHEN A.TYPE3_CD IN ('2121') 
--               THEN A.SALES_AMT
--          END) AS BP_D_L_AMT
    SUM(CASE WHEN A.TYPE3_CD IN ('2122') 
               THEN A.SALES_AMT
          END) AS BP_D_M_AMT
--    SUM(CASE WHEN A.TYPE3_CD IN ('2123')
--               THEN A.SALES_AMT
--          END) AS BP_D_H_AMT                                                  
FROM        SVC_DAILY_SALES_REPORT A
            , CO_GROUP B
            , WITH_PARAM P
WHERE      1=1
AND         A.STD_DT IN (   
                SELECT      ADD_MONTHS( TO_DATE(P.APP_PREV_YEAR || '1231', 'yyyymmdd'), ROWNUM)
                FROM        DUAL
                CONNECT BY  LEVEL &lt; 13
                UNION ALL
                SELECT      ADD_MONTHS( TO_DATE(P.APP_PREV_YEAR-1 || '1231', 'yyyymmdd'), ROWNUM)
                FROM        DUAL
                CONNECT BY  LEVEL &lt; 13
)
AND         A.SHOP_CD = B.GROUP_ID
AND         (P.HOLDING_ID IS NULL OR B.HOLDING_ID = P.HOLDING_ID)
AND         (P.SHOP_CD IS NULL OR B.GROUP_ID = P.SHOP_CD)
AND         A.TYPE3_CD IN ('2110', '2115','2121','2122','2123')
AND         SUBSTR(A.STD_DT, 0, 6) BETWEEN P.APP_PREV_YEAR_SRT_MM AND P.APP_YM
AND SUBSTR(A.STD_DT, 0, 8) = '20220131'
AND SUBSTR(A.STD_DT, 0, 6) = '202201'
GROUP BY    NVL2(P.HOLDING_ID, B.HOLDING_ID, 'TT'), NVL2(P.SHOP_CD, B.GROUP_ID, 'TT'), A.STD_DT
</t>
        </r>
      </text>
    </comment>
    <comment ref="O61" authorId="0" shapeId="0" xr:uid="{A04A41A7-3DAE-46EC-9F44-79581926BC62}">
      <text>
        <r>
          <rPr>
            <b/>
            <sz val="9"/>
            <color indexed="81"/>
            <rFont val="Tahoma"/>
            <family val="2"/>
          </rPr>
          <t>select sum(b.sales_amt)
from (
    select a.dms_brand_cd
          , a.dealer_id
          , a.group_id
          , a.propo_dt
          , a.propo_seq
          , a.repair_type_cd
          , a.vin
          , sum(a.cnfm_labor_amt) over (partition by a.group_id, a.propo_dt, a.propo_seq) as sum_cnfm_labor_amt
      from dms_svc_ro a
      where 1=1
      and a.repair_type_cd = '2'
      and a.stat_cd != '99'
      group by a.dms_brand_cd
          , a.dealer_id
          , a.group_id
          , a.propo_dt
          , a.propo_seq
          , a.repair_type_cd
          , a.vin
          , a.cnfm_labor_amt) a
    left join dms_svc_ro_sales b
    on 1=1
    and a.dms_brand_cd = b.dms_brand_cd
    and a.group_id = b.group_id
    and a.propo_dt = b.propo_dt
    and a.propo_seq = b.propo_seq
--    and ro_type_cd IN ('I', 'G')
where 1=1
and to_char(b.sales_dt, 'yyyymm') = '202301' 
and a.dealer_id = 'DT00000'
--and a.sum_cnfm_labor_amt &lt; 1000000
and a.sum_cnfm_labor_amt between 1000000 AND 2000000
--and a.sum_cnfm_labor_amt  &gt; 2000000</t>
        </r>
      </text>
    </comment>
    <comment ref="P61" authorId="0" shapeId="0" xr:uid="{6225B4DB-55CD-466B-A8A3-BE2844E4C766}">
      <text>
        <r>
          <rPr>
            <b/>
            <sz val="9"/>
            <color indexed="81"/>
            <rFont val="Tahoma"/>
            <family val="2"/>
          </rPr>
          <t>select sum(b.sales_amt)
from (
    select a.dms_brand_cd
          , a.dealer_id
          , a.group_id
          , a.propo_dt
          , a.propo_seq
          , a.repair_type_cd
          , a.vin
          , sum(a.cnfm_labor_amt) over (partition by a.group_id, a.propo_dt, a.propo_seq) as sum_cnfm_labor_amt
      from dms_svc_ro a
      where 1=1
      and a.repair_type_cd = '2'
      and a.stat_cd != '99'
      group by a.dms_brand_cd
          , a.dealer_id
          , a.group_id
          , a.propo_dt
          , a.propo_seq
          , a.repair_type_cd
          , a.vin
          , a.cnfm_labor_amt) a
    left join dms_svc_ro_sales b
    on 1=1
    and a.dms_brand_cd = b.dms_brand_cd
    and a.group_id = b.group_id
    and a.propo_dt = b.propo_dt
    and a.propo_seq = b.propo_seq
--    and ro_type_cd IN ('I', 'G')
where 1=1
and to_char(b.sales_dt, 'yyyymm') = '202201' 
and a.dealer_id = 'DT00000'
--and a.sum_cnfm_labor_amt &lt; 1000000
and a.sum_cnfm_labor_amt between 1000000 AND 2000000
--and a.sum_cnfm_labor_amt  &gt; 2000000</t>
        </r>
      </text>
    </comment>
    <comment ref="M62" authorId="0" shapeId="0" xr:uid="{035CF851-8650-4FBA-98BC-FD857C094EF5}">
      <text>
        <r>
          <rPr>
            <b/>
            <sz val="9"/>
            <color indexed="81"/>
            <rFont val="Tahoma"/>
            <family val="2"/>
          </rPr>
          <t xml:space="preserve">WITH SCREEN_INPUT AS (
    SELECT  '202301' AS APP_YM
        , '202301' AS STD_YM
        , '202301' AS STD_FS_YM
        , '202301' AS FS_APP_YM
        , 'DT00000' AS HOLDING_ID
        , '' AS SHOP_CD 
    FROM DUAL
), WITH_PARAM AS (
    SELECT  REPLACE(APP_YM,'-') AS APP_YM
        , TO_CHAR(TRUNC(ADD_MONTHS(TO_DATE(REPLACE(APP_YM,'-'),'YYYYMM'),-12),'YEAR'),'YYYYMM') AS APP_PREV_YEAR_SRT_MM
        , TO_CHAR(ADD_MONTHS(TO_DATE(REPLACE(APP_YM,'-'),'YYYYMM'),-12),'YYYY') AS APP_PREV_YEAR
        , HOLDING_ID AS HOLDING_ID
        , SHOP_CD AS SHOP_CD         
    FROM SCREEN_INPUT
)
SELECT 
--    SUM(CASE WHEN A.TYPE3_CD IN ('2121') 
--               THEN A.SALES_AMT
--          END) AS BP_D_L_AMT
--    SUM(CASE WHEN A.TYPE3_CD IN ('2122') 
--               THEN A.SALES_AMT
--          END) AS BP_D_M_AMT
    SUM(CASE WHEN A.TYPE3_CD IN ('2123')
               THEN A.SALES_AMT
          END) AS BP_D_H_AMT                                                  
FROM        SVC_DAILY_SALES_REPORT A
            , CO_GROUP B
            , WITH_PARAM P
WHERE      1=1
AND         A.STD_DT IN (   
                SELECT      ADD_MONTHS( TO_DATE(P.APP_PREV_YEAR || '1231', 'yyyymmdd'), ROWNUM)
                FROM        DUAL
                CONNECT BY  LEVEL &lt; 13
                UNION ALL
                SELECT      ADD_MONTHS( TO_DATE(P.APP_PREV_YEAR-1 || '1231', 'yyyymmdd'), ROWNUM)
                FROM        DUAL
                CONNECT BY  LEVEL &lt; 13
)
AND         A.SHOP_CD = B.GROUP_ID
AND         (P.HOLDING_ID IS NULL OR B.HOLDING_ID = P.HOLDING_ID)
AND         (P.SHOP_CD IS NULL OR B.GROUP_ID = P.SHOP_CD)
AND         A.TYPE3_CD IN ('2110', '2115','2121','2122','2123')
AND         SUBSTR(A.STD_DT, 0, 6) BETWEEN P.APP_PREV_YEAR_SRT_MM AND P.APP_YM
AND SUBSTR(A.STD_DT, 0, 8) = '20230131'
AND SUBSTR(A.STD_DT, 0, 6) = '202301'
GROUP BY    NVL2(P.HOLDING_ID, B.HOLDING_ID, 'TT'), NVL2(P.SHOP_CD, B.GROUP_ID, 'TT'), A.STD_DT
</t>
        </r>
      </text>
    </comment>
    <comment ref="O62" authorId="0" shapeId="0" xr:uid="{C6D1E549-8C1A-4BE2-A50D-13B563AEE4E4}">
      <text>
        <r>
          <rPr>
            <b/>
            <sz val="9"/>
            <color indexed="81"/>
            <rFont val="Tahoma"/>
            <family val="2"/>
          </rPr>
          <t>select sum(b.sales_amt)
from (
    select a.dms_brand_cd
          , a.dealer_id
          , a.group_id
          , a.propo_dt
          , a.propo_seq
          , a.repair_type_cd
          , a.vin
          , sum(a.cnfm_labor_amt) over (partition by a.group_id, a.propo_dt, a.propo_seq) as sum_cnfm_labor_amt
      from dms_svc_ro a
      where 1=1
      and a.repair_type_cd = '2'
      and a.stat_cd != '99'
      group by a.dms_brand_cd
          , a.dealer_id
          , a.group_id
          , a.propo_dt
          , a.propo_seq
          , a.repair_type_cd
          , a.vin
          , a.cnfm_labor_amt) a
    left join dms_svc_ro_sales b
    on 1=1
    and a.dms_brand_cd = b.dms_brand_cd
    and a.group_id = b.group_id
    and a.propo_dt = b.propo_dt
    and a.propo_seq = b.propo_seq
--    and ro_type_cd IN ('I', 'G')
where 1=1
and to_char(b.sales_dt, 'yyyymm') = '202301' 
and a.dealer_id = 'DT00000'
--and a.sum_cnfm_labor_amt &lt; 1000000
--and a.sum_cnfm_labor_amt between 1000000 AND 2000000
and a.sum_cnfm_labor_amt  &gt; 2000000</t>
        </r>
      </text>
    </comment>
    <comment ref="M63" authorId="0" shapeId="0" xr:uid="{3B4053F2-7A3C-4424-83E7-CF66554824A4}">
      <text>
        <r>
          <rPr>
            <b/>
            <sz val="9"/>
            <color indexed="81"/>
            <rFont val="Tahoma"/>
            <family val="2"/>
          </rPr>
          <t xml:space="preserve">WITH SCREEN_INPUT AS (
    SELECT  '202301' AS APP_YM
        , '202301' AS STD_YM
        , '202301' AS STD_FS_YM
        , '202301' AS FS_APP_YM
        , 'DT00000' AS HOLDING_ID
        , '' AS SHOP_CD 
    FROM DUAL
), WITH_PARAM AS (
    SELECT  REPLACE(APP_YM,'-') AS APP_YM
        , TO_CHAR(TRUNC(ADD_MONTHS(TO_DATE(REPLACE(APP_YM,'-'),'YYYYMM'),-12),'YEAR'),'YYYYMM') AS APP_PREV_YEAR_SRT_MM
        , TO_CHAR(ADD_MONTHS(TO_DATE(REPLACE(APP_YM,'-'),'YYYYMM'),-12),'YYYY') AS APP_PREV_YEAR
        , HOLDING_ID AS HOLDING_ID
        , SHOP_CD AS SHOP_CD         
    FROM SCREEN_INPUT
)
SELECT 
--    SUM(CASE WHEN A.TYPE3_CD IN ('2121') 
--               THEN A.SALES_AMT
--          END) AS BP_D_L_AMT
--    SUM(CASE WHEN A.TYPE3_CD IN ('2122') 
--               THEN A.SALES_AMT
--          END) AS BP_D_M_AMT
    SUM(CASE WHEN A.TYPE3_CD IN ('2123')
               THEN A.SALES_AMT
          END) AS BP_D_H_AMT                                                  
FROM        SVC_DAILY_SALES_REPORT A
            , CO_GROUP B
            , WITH_PARAM P
WHERE      1=1
AND         A.STD_DT IN (   
                SELECT      ADD_MONTHS( TO_DATE(P.APP_PREV_YEAR || '1231', 'yyyymmdd'), ROWNUM)
                FROM        DUAL
                CONNECT BY  LEVEL &lt; 13
                UNION ALL
                SELECT      ADD_MONTHS( TO_DATE(P.APP_PREV_YEAR-1 || '1231', 'yyyymmdd'), ROWNUM)
                FROM        DUAL
                CONNECT BY  LEVEL &lt; 13
)
AND         A.SHOP_CD = B.GROUP_ID
AND         (P.HOLDING_ID IS NULL OR B.HOLDING_ID = P.HOLDING_ID)
AND         (P.SHOP_CD IS NULL OR B.GROUP_ID = P.SHOP_CD)
AND         A.TYPE3_CD IN ('2110', '2115','2121','2122','2123')
AND         SUBSTR(A.STD_DT, 0, 6) BETWEEN P.APP_PREV_YEAR_SRT_MM AND P.APP_YM
AND SUBSTR(A.STD_DT, 0, 8) = '20230131'
AND SUBSTR(A.STD_DT, 0, 6) = '202301'
GROUP BY    NVL2(P.HOLDING_ID, B.HOLDING_ID, 'TT'), NVL2(P.SHOP_CD, B.GROUP_ID, 'TT'), A.STD_DT
</t>
        </r>
      </text>
    </comment>
    <comment ref="N63" authorId="0" shapeId="0" xr:uid="{44B98BF1-99B7-4AD2-8851-46D5C774822B}">
      <text>
        <r>
          <rPr>
            <b/>
            <sz val="9"/>
            <color indexed="81"/>
            <rFont val="Tahoma"/>
            <family val="2"/>
          </rPr>
          <t>WITH SCREEN_INPUT AS (
    SELECT  '202201' AS APP_YM
        , '202201' AS STD_YM
        , '202201' AS STD_FS_YM
        , '202201' AS FS_APP_YM
        , 'DT00000' AS HOLDING_ID
        , '' AS SHOP_CD 
    FROM DUAL
), WITH_PARAM AS (
    SELECT  REPLACE(APP_YM,'-') AS APP_YM
        , TO_CHAR(TRUNC(ADD_MONTHS(TO_DATE(REPLACE(APP_YM,'-'),'YYYYMM'),-12),'YEAR'),'YYYYMM') AS APP_PREV_YEAR_SRT_MM
        , TO_CHAR(ADD_MONTHS(TO_DATE(REPLACE(APP_YM,'-'),'YYYYMM'),-12),'YYYY') AS APP_PREV_YEAR
        , HOLDING_ID AS HOLDING_ID
        , SHOP_CD AS SHOP_CD         
    FROM SCREEN_INPUT
)
SELECT 
--    SUM(CASE WHEN A.TYPE3_CD IN ('2121') 
--               THEN A.SALES_AMT
--          END) AS BP_D_L_AMT
--    SUM(CASE WHEN A.TYPE3_CD IN ('2122') 
--               THEN A.SALES_AMT
--          END) AS BP_D_M_AMT
    SUM(CASE WHEN A.TYPE3_CD IN ('2123')
               THEN A.SALES_AMT
          END) AS BP_D_H_AMT                                                  
FROM        SVC_DAILY_SALES_REPORT A
            , CO_GROUP B
            , WITH_PARAM P
WHERE      1=1
AND         A.STD_DT IN (   
                SELECT      ADD_MONTHS( TO_DATE(P.APP_PREV_YEAR || '1231', 'yyyymmdd'), ROWNUM)
                FROM        DUAL
                CONNECT BY  LEVEL &lt; 13
                UNION ALL
                SELECT      ADD_MONTHS( TO_DATE(P.APP_PREV_YEAR-1 || '1231', 'yyyymmdd'), ROWNUM)
                FROM        DUAL
                CONNECT BY  LEVEL &lt; 13
)
AND         A.SHOP_CD = B.GROUP_ID
AND         (P.HOLDING_ID IS NULL OR B.HOLDING_ID = P.HOLDING_ID)
AND         (P.SHOP_CD IS NULL OR B.GROUP_ID = P.SHOP_CD)
AND         A.TYPE3_CD IN ('2110', '2115','2121','2122','2123')
AND         SUBSTR(A.STD_DT, 0, 6) BETWEEN P.APP_PREV_YEAR_SRT_MM AND P.APP_YM
AND SUBSTR(A.STD_DT, 0, 8) = '20220131'
AND SUBSTR(A.STD_DT, 0, 6) = '202201'
GROUP BY    NVL2(P.HOLDING_ID, B.HOLDING_ID, 'TT'), NVL2(P.SHOP_CD, B.GROUP_ID, 'TT'), A.STD_DT</t>
        </r>
      </text>
    </comment>
    <comment ref="O63" authorId="0" shapeId="0" xr:uid="{2129B7E0-118F-4A0E-A99B-78DE55618634}">
      <text>
        <r>
          <rPr>
            <b/>
            <sz val="9"/>
            <color indexed="81"/>
            <rFont val="Tahoma"/>
            <family val="2"/>
          </rPr>
          <t>select sum(b.sales_amt)
from (
    select a.dms_brand_cd
          , a.dealer_id
          , a.group_id
          , a.propo_dt
          , a.propo_seq
          , a.repair_type_cd
          , a.vin
          , sum(a.cnfm_labor_amt) over (partition by a.group_id, a.propo_dt, a.propo_seq) as sum_cnfm_labor_amt
      from dms_svc_ro a
      where 1=1
      and a.repair_type_cd = '2'
      and a.stat_cd != '99'
      group by a.dms_brand_cd
          , a.dealer_id
          , a.group_id
          , a.propo_dt
          , a.propo_seq
          , a.repair_type_cd
          , a.vin
          , a.cnfm_labor_amt) a
    left join dms_svc_ro_sales b
    on 1=1
    and a.dms_brand_cd = b.dms_brand_cd
    and a.group_id = b.group_id
    and a.propo_dt = b.propo_dt
    and a.propo_seq = b.propo_seq
--    and ro_type_cd IN ('I', 'G')
where 1=1
and to_char(b.sales_dt, 'yyyymm') = '202301' 
and a.dealer_id = 'DT00000'
--and a.sum_cnfm_labor_amt &lt; 1000000
--and a.sum_cnfm_labor_amt between 1000000 AND 2000000
and a.sum_cnfm_labor_amt  &gt; 2000000</t>
        </r>
      </text>
    </comment>
    <comment ref="P63" authorId="0" shapeId="0" xr:uid="{0E20ABFF-DBD4-4665-94D0-ABCC3E08D48A}">
      <text>
        <r>
          <rPr>
            <b/>
            <sz val="9"/>
            <color indexed="81"/>
            <rFont val="Tahoma"/>
            <family val="2"/>
          </rPr>
          <t>select sum(b.sales_amt)
from (
    select a.dms_brand_cd
          , a.dealer_id
          , a.group_id
          , a.propo_dt
          , a.propo_seq
          , a.repair_type_cd
          , a.vin
          , sum(a.cnfm_labor_amt) over (partition by a.group_id, a.propo_dt, a.propo_seq) as sum_cnfm_labor_amt
      from dms_svc_ro a
      where 1=1
      and a.repair_type_cd = '2'
      and a.stat_cd != '99'
      group by a.dms_brand_cd
          , a.dealer_id
          , a.group_id
          , a.propo_dt
          , a.propo_seq
          , a.repair_type_cd
          , a.vin
          , a.cnfm_labor_amt) a
    left join dms_svc_ro_sales b
    on 1=1
    and a.dms_brand_cd = b.dms_brand_cd
    and a.group_id = b.group_id
    and a.propo_dt = b.propo_dt
    and a.propo_seq = b.propo_seq
--    and ro_type_cd IN ('I', 'G')
where 1=1
and to_char(b.sales_dt, 'yyyymm') = '202201' 
and a.dealer_id = 'DT00000'
--and a.sum_cnfm_labor_amt &lt; 1000000
--and a.sum_cnfm_labor_amt between 1000000 AND 2000000
and a.sum_cnfm_labor_amt  &gt; 2000000</t>
        </r>
      </text>
    </comment>
    <comment ref="M67" authorId="0" shapeId="0" xr:uid="{874DB289-125A-4CAC-BCEC-03FAACBBD7A0}">
      <text>
        <r>
          <rPr>
            <b/>
            <sz val="9"/>
            <color indexed="81"/>
            <rFont val="Tahoma"/>
            <family val="2"/>
          </rPr>
          <t>SELECT  NVL(SUM(A.OWN_8CNT),0) + NVL(SUM(A.OTHER_8CNT),0) AS Active_Cust
FROM    (
        SELECT  A.SALES_HID
                , A.VIN
                , MAX(A.OWN_8CNT) OWN_8CNT
                , DECODE(MAX(A.OWN_8CNT),0,MAX(A.OTHER_8CNT),0) OTHER_8CNT
        FROM    (    
                SELECT  A.SALES_HID, A.VIN
                        , CASE WHEN A.SERVICE_HID=A.SALES_HID THEN 1 ELSE 0 END AS OWN_8CNT
                        , CASE WHEN A.SERVICE_HID!=A.SALES_HID THEN 1 ELSE 0 END AS OTHER_8CNT
                FROM    (    
                        SELECT  DISTINCT C.HOLDING_ID AS SERVICE_HID, DECODE(D.HOLDING_ID,'SK00000','DT00000',D.HOLDING_ID) AS SALES_HID, A.VIN, A.CLOSE_YYYYMM, E.LAST_RETAIL_SALES_DT
                        FROM    SVC_CLOSE_TRAFFIC_LEGACY A
                                , CO_VEHIC B
                                , CO_GROUP C
                                , CO_GROUP D
                                , OM_CONTRACT E
                        WHERE   A.REPAIR_TYPE_CD='1'
                        AND     A.CLOSE_DT BETWEEN TO_CHAR(ADD_MONTHS(TRUNC(TO_DATE('202301','YYYYMM'),'MONTH'),-11),'YYYYMMDD') AND TO_CHAR(LAST_DAY(TO_DATE('202301','YYYYMM')),'YYYYMMDD')
                        AND     A.VIN=B.VIN
                        AND     A.VIN=E.VIN
                        AND     A.SHOP_CD=C.GROUP_ID
                        AND     B.SALES_DEALER_ID=D.GROUP_ID
                        AND     B.LINEOFF_DT IS NOT NULL
                        AND     TO_CHAR(TO_DATE(LAST_RETAIL_SALES_DT, 'YYYY-MM-DD HH24:MI:SS'), 'YYYYMMDD') BETWEEN TO_CHAR(ADD_MONTHS(TO_DATE('202301' , 'YYYYMM'), -95), 'YYYYMMDD')
                        AND     LAST_DAY(TO_CHAR(ADD_MONTHS(TO_DATE('202301' , 'YYYYMM'), 0), 'YYYYMMDD'))
                        AND     TO_CHAR(TO_DATE(LAST_RETAIL_SALES_DT, 'YYYY-MM-DD HH24:MI:SS'), 'YYYYMMDD') BETWEEN TO_CHAR(ADD_MONTHS(TO_DATE('202301', 'YYYYMM'), -95), 'YYYYMMDD')
                        AND     LAST_DAY(TO_CHAR(ADD_MONTHS(TO_DATE(A.CLOSE_YYYYMM, 'YYYYMM'), 0), 'YYYYMMDD'))
                        ) A
                  WHERE     A.SALES_HID='DT00000'  
                ) A                
        GROUP BY A.SALES_HID, A.VIN
        ) A
WHERE   1=1</t>
        </r>
      </text>
    </comment>
    <comment ref="N67" authorId="0" shapeId="0" xr:uid="{34F690FC-6C8B-4E3E-8C0B-1EFB6AE12F84}">
      <text>
        <r>
          <rPr>
            <b/>
            <sz val="9"/>
            <color indexed="81"/>
            <rFont val="Tahoma"/>
            <family val="2"/>
          </rPr>
          <t>SELECT COUNT(*)
FROM OM_CONTRACT A
    , CO_GROUP B
WHERE 1=1
AND A.DEALER_ID=B.GROUP_ID
AND A.CONTRACT_STAT_CD='D4'
AND B.HOLDING_ID = 'DT00000'  
AND TO_CHAR(TO_DATE(LAST_RETAIL_SALES_DT, 'YYYY-MM-DD HH24:MI:SS'), 'YYYYMMDD') BETWEEN TO_CHAR(ADD_MONTHS(TO_DATE('202301' , 'YYYYMM'), -95), 'YYYYMMDD')
                                                                                AND     LAST_DAY(TO_CHAR(ADD_MONTHS(TO_DATE('202301' , 'YYYYMM'), 0), 'YYYYMMDD'))</t>
        </r>
      </text>
    </comment>
    <comment ref="O67" authorId="0" shapeId="0" xr:uid="{7A07AEAE-0CC0-4294-9924-E3A002DD94C6}">
      <text>
        <r>
          <rPr>
            <b/>
            <sz val="9"/>
            <color indexed="81"/>
            <rFont val="Tahoma"/>
            <family val="2"/>
          </rPr>
          <t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to_date('202301', 'YYYYMMDD') - interval '95 MONTH'
                        AND to_date('202301', 'YYYYMMDD') + INTERVAL '1 MONTH - 1 day'
    group by b.dealer_id
), active_8crt as (
    select a.dealer_id
        , coalesce(SUM(A.OWN_8CNT),0) + coalesce(SUM(A.OTHER_8CNT),0)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to_date('202301', 'YYYYMMDD') - interval '11 MONTH' AND to_date('202301',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to_date('202301', 'YYYYMMDD') - interval '95 MONTH'
                                        AND to_date('202301', 'YYYYMMDD') + INTERVAL '1 MONTH - 1 day'
                    AND RETAIL_SALES_DT BETWEEN A.RO_CLOSE_DT - interval '95 MONTH'
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</t>
        </r>
      </text>
    </comment>
    <comment ref="P67" authorId="0" shapeId="0" xr:uid="{9978022C-970D-455B-A623-EE5979F084E3}">
      <text>
        <r>
          <rPr>
            <b/>
            <sz val="9"/>
            <color indexed="81"/>
            <rFont val="Tahoma"/>
            <family val="2"/>
          </rPr>
          <t xml:space="preserve"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to_date('202301', 'YYYYMMDD') - interval '95 MONTH'
                        AND to_date('202301', 'YYYYMMDD') + INTERVAL '1 MONTH - 1 day'
    group by b.dealer_id
), active_8crt as (
    select a.dealer_id
        , coalesce(SUM(A.OWN_8CNT),0) + coalesce(SUM(A.OTHER_8CNT),0)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to_date('202301', 'YYYYMMDD') - interval '11 MONTH' AND to_date('202301',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to_date('202301', 'YYYYMMDD') - interval '95 MONTH'
                                        AND to_date('202301', 'YYYYMMDD') + INTERVAL '1 MONTH - 1 day'
                    AND RETAIL_SALES_DT BETWEEN A.RO_CLOSE_DT - interval '95 MONTH'
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
</t>
        </r>
      </text>
    </comment>
    <comment ref="N68" authorId="0" shapeId="0" xr:uid="{D828E2D5-8723-4BB7-B365-B49478E57A20}">
      <text>
        <r>
          <rPr>
            <b/>
            <sz val="9"/>
            <color indexed="81"/>
            <rFont val="Tahoma"/>
            <family val="2"/>
          </rPr>
          <t>SELECT DATA_VL
FROM SA_KPI_BASE_INFO
WHERE 1=1
AND DEALER_ID = 'DT00000'
AND BASE_YM = '202301'
AND DATA_TYPE = 'SVC_D_ACR'</t>
        </r>
      </text>
    </comment>
    <comment ref="P68" authorId="0" shapeId="0" xr:uid="{88A9BB07-8451-4D43-A2C5-8D9E33D0B88D}">
      <text>
        <r>
          <rPr>
            <b/>
            <sz val="9"/>
            <color indexed="81"/>
            <rFont val="Tahoma"/>
            <family val="2"/>
          </rPr>
          <t>SELECT dealer_id
    , svc_kpi_code_amt
FROM dms_svc_kpi_resource a
WHERE 1=1
and a.dealer_id= 'DT00000'
and a.yyyymm= '202301'
and svc_kpi_code_type = 'DMS_BI_SVC001'
and svc_kpi_code = 'SVC_ACTIVE_CRT'</t>
        </r>
      </text>
    </comment>
    <comment ref="M69" authorId="0" shapeId="0" xr:uid="{6EF58475-3CBC-463C-99C3-A2A4E99263F0}">
      <text>
        <r>
          <rPr>
            <b/>
            <sz val="9"/>
            <color indexed="81"/>
            <rFont val="Tahoma"/>
            <family val="2"/>
          </rPr>
          <t>SELECT  NVL(SUM(A.OWN_8CNT),0) + NVL(SUM(A.OTHER_8CNT),0) AS Active_Cust
FROM    (
        SELECT  A.SALES_HID
                , A.VIN
                , MAX(A.OWN_8CNT) OWN_8CNT
                , DECODE(MAX(A.OWN_8CNT),0,MAX(A.OTHER_8CNT),0) OTHER_8CNT
        FROM    (    
                SELECT  A.SALES_HID, A.VIN
                        , CASE WHEN A.SERVICE_HID=A.SALES_HID THEN 1 ELSE 0 END AS OWN_8CNT
                        , CASE WHEN A.SERVICE_HID!=A.SALES_HID THEN 1 ELSE 0 END AS OTHER_8CNT
                FROM    (    
                        SELECT  DISTINCT C.HOLDING_ID AS SERVICE_HID, DECODE(D.HOLDING_ID,'SK00000','DT00000',D.HOLDING_ID) AS SALES_HID, A.VIN, A.CLOSE_YYYYMM, E.LAST_RETAIL_SALES_DT
                        FROM    SVC_CLOSE_TRAFFIC_LEGACY A
                                , CO_VEHIC B
                                , CO_GROUP C
                                , CO_GROUP D
                                , OM_CONTRACT E
                        WHERE   A.REPAIR_TYPE_CD='1'
                        AND     A.CLOSE_DT BETWEEN TO_CHAR(ADD_MONTHS(TRUNC(TO_DATE('202301','YYYYMM'),'MONTH'),-11),'YYYYMMDD') AND TO_CHAR(LAST_DAY(TO_DATE('202301','YYYYMM')),'YYYYMMDD')
                        AND     A.VIN=B.VIN
                        AND     A.VIN=E.VIN
                        AND     A.SHOP_CD=C.GROUP_ID
                        AND     B.SALES_DEALER_ID=D.GROUP_ID
                        AND     B.LINEOFF_DT IS NOT NULL
                        AND     TO_CHAR(TO_DATE(LAST_RETAIL_SALES_DT, 'YYYY-MM-DD HH24:MI:SS'), 'YYYYMMDD') BETWEEN TO_CHAR(ADD_MONTHS(TO_DATE('202301' , 'YYYYMM'), -95), 'YYYYMMDD')
                        AND     LAST_DAY(TO_CHAR(ADD_MONTHS(TO_DATE('202301' , 'YYYYMM'), 0), 'YYYYMMDD'))
                        AND     TO_CHAR(TO_DATE(LAST_RETAIL_SALES_DT, 'YYYY-MM-DD HH24:MI:SS'), 'YYYYMMDD') BETWEEN TO_CHAR(ADD_MONTHS(TO_DATE('202301', 'YYYYMM'), -95), 'YYYYMMDD')
                        AND     LAST_DAY(TO_CHAR(ADD_MONTHS(TO_DATE(A.CLOSE_YYYYMM, 'YYYYMM'), 0), 'YYYYMMDD'))
                        ) A
                  WHERE     A.SALES_HID='DT00000'  
                ) A                
        GROUP BY A.SALES_HID, A.VIN
        ) A
WHERE   1=1</t>
        </r>
      </text>
    </comment>
    <comment ref="N69" authorId="0" shapeId="0" xr:uid="{2DDDFE36-0886-47E0-ACE3-6F370C2E6815}">
      <text>
        <r>
          <rPr>
            <b/>
            <sz val="9"/>
            <color indexed="81"/>
            <rFont val="Tahoma"/>
            <family val="2"/>
          </rPr>
          <t>SELECT COUNT(*)
FROM OM_CONTRACT A
    , CO_GROUP B
WHERE 1=1
AND A.DEALER_ID=B.GROUP_ID
AND A.CONTRACT_STAT_CD='D4'
AND B.HOLDING_ID = 'DT00000'  
AND TO_CHAR(TO_DATE(LAST_RETAIL_SALES_DT, 'YYYY-MM-DD HH24:MI:SS'), 'YYYYMMDD') BETWEEN TO_CHAR(ADD_MONTHS(TO_DATE('202301' , 'YYYYMM'), -95), 'YYYYMMDD')
                                                                                AND     LAST_DAY(TO_CHAR(ADD_MONTHS(TO_DATE('202301' , 'YYYYMM'), 0), 'YYYYMMDD'))</t>
        </r>
      </text>
    </comment>
    <comment ref="O69" authorId="0" shapeId="0" xr:uid="{4E6B9BA2-CDDE-4D87-94ED-F7F5899AC271}">
      <text>
        <r>
          <rPr>
            <b/>
            <sz val="9"/>
            <color indexed="81"/>
            <rFont val="Tahoma"/>
            <family val="2"/>
          </rPr>
          <t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to_date('202301', 'YYYYMMDD') - interval '95 MONTH'
                        AND to_date('202301', 'YYYYMMDD') + INTERVAL '1 MONTH - 1 day'
    group by b.dealer_id
), active_8crt as (
    select a.dealer_id
        , coalesce(SUM(A.OWN_8CNT),0) + coalesce(SUM(A.OTHER_8CNT),0)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to_date('202301', 'YYYYMMDD') - interval '11 MONTH' AND to_date('202301',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to_date('202301', 'YYYYMMDD') - interval '95 MONTH'
                                        AND to_date('202301', 'YYYYMMDD') + INTERVAL '1 MONTH - 1 day'
                    AND RETAIL_SALES_DT BETWEEN A.RO_CLOSE_DT - interval '95 MONTH'
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</t>
        </r>
      </text>
    </comment>
    <comment ref="P69" authorId="0" shapeId="0" xr:uid="{7B1CCCA1-236F-4524-BDBF-B821A5596B83}">
      <text>
        <r>
          <rPr>
            <b/>
            <sz val="9"/>
            <color indexed="81"/>
            <rFont val="Tahoma"/>
            <family val="2"/>
          </rPr>
          <t xml:space="preserve"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to_date('202301', 'YYYYMMDD') - interval '95 MONTH'
                        AND to_date('202301', 'YYYYMMDD') + INTERVAL '1 MONTH - 1 day'
    group by b.dealer_id
), active_8crt as (
    select a.dealer_id
        , coalesce(SUM(A.OWN_8CNT),0) + coalesce(SUM(A.OTHER_8CNT),0)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to_date('202301', 'YYYYMMDD') - interval '11 MONTH' AND to_date('202301',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to_date('202301', 'YYYYMMDD') - interval '95 MONTH'
                                        AND to_date('202301', 'YYYYMMDD') + INTERVAL '1 MONTH - 1 day'
                    AND RETAIL_SALES_DT BETWEEN A.RO_CLOSE_DT - interval '95 MONTH'
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
</t>
        </r>
      </text>
    </comment>
    <comment ref="O70" authorId="0" shapeId="0" xr:uid="{0A93D238-2021-4E35-BE06-3D617E93A514}">
      <text>
        <r>
          <rPr>
            <b/>
            <sz val="9"/>
            <color indexed="81"/>
            <rFont val="Tahoma"/>
            <family val="2"/>
          </rPr>
          <t>select sum(cnt) active_customer
from (
    select sales_dealer_id
        , own_type_cd
        , ro_close_crt_cd
        , count(*) as cnt
    from (
        select distinct sales_dealer_id
            , vin
            , substring(min(own_type_cd), 4) as own_type_cd
            , substring(min(ro_close_crt_cd), 4) AS ro_close_crt_cd
        from (
            select crv.sales_dealer_id as sales_dealer_id
                , crv.svc_dealer_id as svc_dealer_id
                , crv.vin
                , case crv.svc_dealer_id when crv.sales_dealer_id then '01_OWN' else '02_OTH' end AS own_type_cd
                , case when crv.ro_close_crt_cd = 'FMS'
                       then '01_FMS'
                       when crv.ro_close_crt_cd = 'PSP'
                       then '02_PSP'
                       when crv.ro_close_crt_cd = 'PO'
                       then '03_PO'
                       when crv.ro_close_crt_cd = 'GR'
                       then '04_GR'
                       when crv.ro_close_crt_cd = 'WT'
                       then '05_WT'
                       when crv.ro_close_crt_cd = 'FMS_1K'
                       then '06_FMS_1K'
                       when crv.ro_close_crt_cd = 'IT'
                       then '07_IT'
                       else '09_BP'
                  end AS ro_close_crt_cd
            from contract_ro_v crv
            where 1=1
            and crv.ro_close_dt between to_date('202301', 'YYYYMMDD') - interval '11 MONTH'
                                and to_date('202301', 'YYYYMMDD') + interval '1 MONTH - 1 day'
            AND crv.retail_sales_dt between to_date('202301', 'YYYYMMDD') - interval '95 MONTH'
                                    and to_date('202301', 'YYYYMMDD') + interval '1 MONTH - 1 day'
--            AND crv.retail_sales_dt between crv.ro_close_dt - interval '95 MONTH'
--                                    and crv.ro_close_dt + interval '1 MONTH - 1 day'
            and crv.repair_type_cd = '1'
            and crv.contract_stat_cd = 'D4'
            and crv.stat_cd != '99'
            and crv.sales_dealer_id = 'DT00000'
        ) a
        group by sales_dealer_id
            , vin
    ) a
    where 1=1
    group by sales_dealer_id
        , own_type_cd
        , ro_close_crt_cd
    order by ro_close_crt_cd
) a</t>
        </r>
      </text>
    </comment>
    <comment ref="M71" authorId="0" shapeId="0" xr:uid="{4AADC355-5DFD-40B9-AA7C-3BA3D6667516}">
      <text>
        <r>
          <rPr>
            <b/>
            <sz val="9"/>
            <color indexed="81"/>
            <rFont val="Tahoma"/>
            <family val="2"/>
          </rPr>
          <t>SELECT  NVL(SUM(A.OWN_8CNT),0) AS Active_Cust
FROM    (
        SELECT  A.SALES_HID
                , A.VIN
                , MAX(A.OWN_8CNT) OWN_8CNT
                , DECODE(MAX(A.OWN_8CNT),0,MAX(A.OTHER_8CNT),0) OTHER_8CNT
        FROM    (    
                SELECT  A.SALES_HID, A.VIN
                        , CASE WHEN A.SERVICE_HID=A.SALES_HID THEN 1 ELSE 0 END AS OWN_8CNT
                        , CASE WHEN A.SERVICE_HID!=A.SALES_HID THEN 1 ELSE 0 END AS OTHER_8CNT
                FROM    (    
                        SELECT  DISTINCT C.HOLDING_ID AS SERVICE_HID, DECODE(D.HOLDING_ID,'SK00000','DT00000',D.HOLDING_ID) AS SALES_HID, A.VIN, A.CLOSE_YYYYMM, E.LAST_RETAIL_SALES_DT
                        FROM    SVC_CLOSE_TRAFFIC_LEGACY A
                                , CO_VEHIC B
                                , CO_GROUP C
                                , CO_GROUP D
                                , OM_CONTRACT E
                        WHERE   A.REPAIR_TYPE_CD='1'
                        AND     A.CLOSE_DT BETWEEN TO_CHAR(ADD_MONTHS(TRUNC(TO_DATE('202301','YYYYMM'),'MONTH'),-11),'YYYYMMDD') AND TO_CHAR(LAST_DAY(TO_DATE('202301','YYYYMM')),'YYYYMMDD')
                        AND     A.VIN=B.VIN
                        AND     A.VIN=E.VIN
                        AND     A.SHOP_CD=C.GROUP_ID
                        AND     B.SALES_DEALER_ID=D.GROUP_ID
                        AND     B.LINEOFF_DT IS NOT NULL
                        AND     TO_CHAR(TO_DATE(LAST_RETAIL_SALES_DT, 'YYYY-MM-DD HH24:MI:SS'), 'YYYYMMDD') BETWEEN TO_CHAR(ADD_MONTHS(TO_DATE('202301' , 'YYYYMM'), -95), 'YYYYMMDD')
                        AND     LAST_DAY(TO_CHAR(ADD_MONTHS(TO_DATE('202301' , 'YYYYMM'), 0), 'YYYYMMDD'))
                        AND     TO_CHAR(TO_DATE(LAST_RETAIL_SALES_DT, 'YYYY-MM-DD HH24:MI:SS'), 'YYYYMMDD') BETWEEN TO_CHAR(ADD_MONTHS(TO_DATE('202301', 'YYYYMM'), -95), 'YYYYMMDD')
                        AND     LAST_DAY(TO_CHAR(ADD_MONTHS(TO_DATE(A.CLOSE_YYYYMM, 'YYYYMM'), 0), 'YYYYMMDD'))
                        ) A
                  WHERE     A.SALES_HID='DT00000'  
                ) A                
        GROUP BY A.SALES_HID, A.VIN
        ) A
WHERE   1=1</t>
        </r>
      </text>
    </comment>
    <comment ref="N71" authorId="0" shapeId="0" xr:uid="{E8242D52-7DC4-42DA-A6FC-4FFB18C0CF38}">
      <text>
        <r>
          <rPr>
            <b/>
            <sz val="9"/>
            <color indexed="81"/>
            <rFont val="Tahoma"/>
            <family val="2"/>
          </rPr>
          <t>SELECT COUNT(*)
FROM OM_CONTRACT A
    , CO_GROUP B
WHERE 1=1
AND A.DEALER_ID=B.GROUP_ID
AND A.CONTRACT_STAT_CD='D4'
AND B.HOLDING_ID = 'DT00000'  
AND TO_CHAR(TO_DATE(LAST_RETAIL_SALES_DT, 'YYYY-MM-DD HH24:MI:SS'), 'YYYYMMDD') BETWEEN TO_CHAR(ADD_MONTHS(TO_DATE('202301' , 'YYYYMM'), -95), 'YYYYMMDD')
                                                                                AND     LAST_DAY(TO_CHAR(ADD_MONTHS(TO_DATE('202301' , 'YYYYMM'), 0), 'YYYYMMDD'))</t>
        </r>
      </text>
    </comment>
    <comment ref="O71" authorId="0" shapeId="0" xr:uid="{AA63FC49-AE04-4B00-B3F8-570EE725F3A9}">
      <text>
        <r>
          <rPr>
            <b/>
            <sz val="9"/>
            <color indexed="81"/>
            <rFont val="Tahoma"/>
            <family val="2"/>
          </rPr>
          <t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to_date('202301', 'YYYYMMDD') - interval '95 MONTH'
                        AND to_date('202301', 'YYYYMMDD') + INTERVAL '1 MONTH - 1 day'
    group by b.dealer_id
), active_8crt as (
    select a.dealer_id
        , coalesce(SUM(A.OWN_8CNT),0) as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to_date('202301', 'YYYYMMDD') - interval '11 MONTH' AND to_date('202301',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to_date('202301', 'YYYYMMDD') - interval '95 MONTH'
                                        AND to_date('202301', 'YYYYMMDD') + INTERVAL '1 MONTH - 1 day'
                    AND RETAIL_SALES_DT BETWEEN A.RO_CLOSE_DT - interval '95 MONTH'
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</t>
        </r>
      </text>
    </comment>
    <comment ref="P71" authorId="0" shapeId="0" xr:uid="{EE828D50-6E50-4589-91FC-40A32623C53E}">
      <text>
        <r>
          <rPr>
            <b/>
            <sz val="9"/>
            <color indexed="81"/>
            <rFont val="Tahoma"/>
            <family val="2"/>
          </rPr>
          <t xml:space="preserve"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to_date('202301', 'YYYYMMDD') - interval '95 MONTH'
                        AND to_date('202301', 'YYYYMMDD') + INTERVAL '1 MONTH - 1 day'
    group by b.dealer_id
), active_8crt as (
    select a.dealer_id
        , coalesce(SUM(A.OWN_8CNT),0) + coalesce(SUM(A.OTHER_8CNT),0)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to_date('202301', 'YYYYMMDD') - interval '11 MONTH' AND to_date('202301',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to_date('202301', 'YYYYMMDD') - interval '95 MONTH'
                                        AND to_date('202301', 'YYYYMMDD') + INTERVAL '1 MONTH - 1 day'
                    AND RETAIL_SALES_DT BETWEEN A.RO_CLOSE_DT - interval '95 MONTH'
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
</t>
        </r>
      </text>
    </comment>
    <comment ref="M72" authorId="0" shapeId="0" xr:uid="{A0643F1A-C25F-4A4F-BFA0-A4FC9C252FEF}">
      <text>
        <r>
          <rPr>
            <b/>
            <sz val="9"/>
            <color indexed="81"/>
            <rFont val="Tahoma"/>
            <family val="2"/>
          </rPr>
          <t>SELECT  NVL(SUM(A.OWN_8CNT),0) AS Active_Cust
FROM    (
        SELECT  A.SALES_HID
                , A.VIN
                , MAX(A.OWN_8CNT) OWN_8CNT
                , DECODE(MAX(A.OWN_8CNT),0,MAX(A.OTHER_8CNT),0) OTHER_8CNT
        FROM    (    
                SELECT  A.SALES_HID, A.VIN
                        , CASE WHEN A.SERVICE_HID=A.SALES_HID THEN 1 ELSE 0 END AS OWN_8CNT
                        , CASE WHEN A.SERVICE_HID!=A.SALES_HID THEN 1 ELSE 0 END AS OTHER_8CNT
                FROM    (    
                        SELECT  DISTINCT C.HOLDING_ID AS SERVICE_HID, DECODE(D.HOLDING_ID,'SK00000','DT00000',D.HOLDING_ID) AS SALES_HID, A.VIN, A.CLOSE_YYYYMM, E.LAST_RETAIL_SALES_DT
                        FROM    SVC_CLOSE_TRAFFIC_LEGACY A
                                , CO_VEHIC B
                                , CO_GROUP C
                                , CO_GROUP D
                                , OM_CONTRACT E
                        WHERE   A.REPAIR_TYPE_CD='1'
                        AND     A.CLOSE_DT BETWEEN TO_CHAR(ADD_MONTHS(TRUNC(TO_DATE('202301','YYYYMM'),'MONTH'),-11),'YYYYMMDD') AND TO_CHAR(LAST_DAY(TO_DATE('202301','YYYYMM')),'YYYYMMDD')
                        AND     A.VIN=B.VIN
                        AND     A.VIN=E.VIN
                        AND     A.SHOP_CD=C.GROUP_ID
                        AND     B.SALES_DEALER_ID=D.GROUP_ID
                        AND     B.LINEOFF_DT IS NOT NULL
                        AND     TO_CHAR(TO_DATE(LAST_RETAIL_SALES_DT, 'YYYY-MM-DD HH24:MI:SS'), 'YYYYMMDD') BETWEEN TO_CHAR(ADD_MONTHS(TO_DATE('202301' , 'YYYYMM'), -95), 'YYYYMMDD')
                        AND     LAST_DAY(TO_CHAR(ADD_MONTHS(TO_DATE('202301' , 'YYYYMM'), 0), 'YYYYMMDD'))
                        AND     TO_CHAR(TO_DATE(LAST_RETAIL_SALES_DT, 'YYYY-MM-DD HH24:MI:SS'), 'YYYYMMDD') BETWEEN TO_CHAR(ADD_MONTHS(TO_DATE('202301', 'YYYYMM'), -95), 'YYYYMMDD')
                        AND     LAST_DAY(TO_CHAR(ADD_MONTHS(TO_DATE(A.CLOSE_YYYYMM, 'YYYYMM'), 0), 'YYYYMMDD'))
                        ) A
                  WHERE     A.SALES_HID='DT00000'  
                ) A                
        GROUP BY A.SALES_HID, A.VIN
        ) A
WHERE   1=1</t>
        </r>
      </text>
    </comment>
    <comment ref="N72" authorId="0" shapeId="0" xr:uid="{BA4D2431-F7B1-49D1-98F7-02B0E1103242}">
      <text>
        <r>
          <rPr>
            <b/>
            <sz val="9"/>
            <color indexed="81"/>
            <rFont val="Tahoma"/>
            <family val="2"/>
          </rPr>
          <t>SELECT data_vl
FROM SA_KPI_BASE_INFO A
WHERE 1=1
AND A.DATA_TYPE='SVC_D_U'
AND dealer_id = 'DT00000'
AND base_ym = '202301'</t>
        </r>
      </text>
    </comment>
    <comment ref="O72" authorId="0" shapeId="0" xr:uid="{30C6C002-A29B-4A20-A78B-87B4117CE462}">
      <text>
        <r>
          <rPr>
            <b/>
            <sz val="9"/>
            <color indexed="81"/>
            <rFont val="Tahoma"/>
            <family val="2"/>
          </rPr>
          <t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to_date('202301', 'YYYYMMDD') - interval '95 MONTH'
                        AND to_date('202301', 'YYYYMMDD') + INTERVAL '1 MONTH - 1 day'
    group by b.dealer_id
), active_8crt as (
    select a.dealer_id
        , coalesce(SUM(A.OWN_8CNT),0) as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to_date('202301', 'YYYYMMDD') - interval '11 MONTH' AND to_date('202301',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to_date('202301', 'YYYYMMDD') - interval '95 MONTH'
                                        AND to_date('202301', 'YYYYMMDD') + INTERVAL '1 MONTH - 1 day'
                    AND RETAIL_SALES_DT BETWEEN A.RO_CLOSE_DT - interval '95 MONTH'
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</t>
        </r>
      </text>
    </comment>
    <comment ref="P72" authorId="0" shapeId="0" xr:uid="{9604EA2D-3F7F-44DB-B176-718EBD77FCDE}">
      <text>
        <r>
          <rPr>
            <b/>
            <sz val="9"/>
            <color indexed="81"/>
            <rFont val="Tahoma"/>
            <family val="2"/>
          </rPr>
          <t>SELECT dealer_id
    , svc_kpi_code_amt
FROM dms_svc_kpi_resource a
WHERE 1=1
and a.dealer_id= 'DT00000'
and a.yyyymm= '202301'
and svc_kpi_code_type = 'DMS_BI_SVC001'
and svc_kpi_code = 'SVC_OWN_CRT'</t>
        </r>
      </text>
    </comment>
    <comment ref="M73" authorId="0" shapeId="0" xr:uid="{895B6F85-2630-466A-BEA7-E82FE9FA24C3}">
      <text>
        <r>
          <rPr>
            <b/>
            <sz val="9"/>
            <color indexed="81"/>
            <rFont val="Tahoma"/>
            <family val="2"/>
          </rPr>
          <t>SELECT  NVL(SUM(A.OWN_8CNT),0) AS Active_Cust
FROM    (
        SELECT  A.SALES_HID
                , A.VIN
                , MAX(A.OWN_8CNT) OWN_8CNT
                , DECODE(MAX(A.OWN_8CNT),0,MAX(A.OTHER_8CNT),0) OTHER_8CNT
        FROM    (    
                SELECT  A.SALES_HID, A.VIN
                        , CASE WHEN A.SERVICE_HID=A.SALES_HID THEN 1 ELSE 0 END AS OWN_8CNT
                        , CASE WHEN A.SERVICE_HID!=A.SALES_HID THEN 1 ELSE 0 END AS OTHER_8CNT
                FROM    (    
                        SELECT  DISTINCT C.HOLDING_ID AS SERVICE_HID, DECODE(D.HOLDING_ID,'SK00000','DT00000',D.HOLDING_ID) AS SALES_HID, A.VIN, A.CLOSE_YYYYMM, E.LAST_RETAIL_SALES_DT
                        FROM    SVC_CLOSE_TRAFFIC_LEGACY A
                                , CO_VEHIC B
                                , CO_GROUP C
                                , CO_GROUP D
                                , OM_CONTRACT E
                        WHERE   A.REPAIR_TYPE_CD='1'
                        AND     A.CLOSE_DT BETWEEN TO_CHAR(ADD_MONTHS(TRUNC(TO_DATE('202201','YYYYMM'),'MONTH'),-11),'YYYYMMDD') AND TO_CHAR(LAST_DAY(TO_DATE('202201','YYYYMM')),'YYYYMMDD')
                        AND     A.VIN=B.VIN
                        AND     A.VIN=E.VIN
                        AND     A.SHOP_CD=C.GROUP_ID
                        AND     B.SALES_DEALER_ID=D.GROUP_ID
                        AND     B.LINEOFF_DT IS NOT NULL
                        AND     TO_CHAR(TO_DATE(LAST_RETAIL_SALES_DT, 'YYYY-MM-DD HH24:MI:SS'), 'YYYYMMDD') BETWEEN TO_CHAR(ADD_MONTHS(TO_DATE('202201' , 'YYYYMM'), -95), 'YYYYMMDD')
                        AND     LAST_DAY(TO_CHAR(ADD_MONTHS(TO_DATE('202201' , 'YYYYMM'), 0), 'YYYYMMDD'))
                        AND     TO_CHAR(TO_DATE(LAST_RETAIL_SALES_DT, 'YYYY-MM-DD HH24:MI:SS'), 'YYYYMMDD') BETWEEN TO_CHAR(ADD_MONTHS(TO_DATE('202201', 'YYYYMM'), -95), 'YYYYMMDD')
                        AND     LAST_DAY(TO_CHAR(ADD_MONTHS(TO_DATE(A.CLOSE_YYYYMM, 'YYYYMM'), 0), 'YYYYMMDD'))
                        ) A
                  WHERE     A.SALES_HID='DT00000'  
                ) A                
        GROUP BY A.SALES_HID, A.VIN
        ) A
WHERE   1=1</t>
        </r>
      </text>
    </comment>
    <comment ref="N73" authorId="0" shapeId="0" xr:uid="{FC070D35-BD39-4FA9-B816-FD797BBE1521}">
      <text>
        <r>
          <rPr>
            <b/>
            <sz val="9"/>
            <color indexed="81"/>
            <rFont val="Tahoma"/>
            <family val="2"/>
          </rPr>
          <t>SELECT COUNT(*)
FROM OM_CONTRACT A
    , CO_GROUP B
WHERE 1=1
AND A.DEALER_ID=B.GROUP_ID
AND A.CONTRACT_STAT_CD='D4'
AND B.HOLDING_ID = 'DT00000'  
AND TO_CHAR(TO_DATE(LAST_RETAIL_SALES_DT, 'YYYY-MM-DD HH24:MI:SS'), 'YYYYMMDD') BETWEEN TO_CHAR(ADD_MONTHS(TO_DATE('202201' , 'YYYYMM'), -95), 'YYYYMMDD')
                                                                                AND     LAST_DAY(TO_CHAR(ADD_MONTHS(TO_DATE('202201' , 'YYYYMM'), 0), 'YYYYMMDD'))</t>
        </r>
      </text>
    </comment>
    <comment ref="O73" authorId="0" shapeId="0" xr:uid="{C0E45F47-14D4-4EA9-A2BF-3E8EDFA4AFB5}">
      <text>
        <r>
          <rPr>
            <b/>
            <sz val="9"/>
            <color indexed="81"/>
            <rFont val="Tahoma"/>
            <family val="2"/>
          </rPr>
          <t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to_date('202201', 'YYYYMMDD') - interval '95 MONTH'
                        AND to_date('202201', 'YYYYMMDD') + INTERVAL '1 MONTH - 1 day'
    group by b.dealer_id
), active_8crt as (
    select a.dealer_id
        , coalesce(SUM(A.OWN_8CNT),0)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to_date('202201', 'YYYYMMDD') - interval '11 MONTH' AND to_date('202201',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to_date('202201', 'YYYYMMDD') - interval '95 MONTH'
                                        AND to_date('202201', 'YYYYMMDD') + INTERVAL '1 MONTH - 1 day'
                    AND RETAIL_SALES_DT BETWEEN A.RO_CLOSE_DT - interval '95 MONTH'
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</t>
        </r>
      </text>
    </comment>
    <comment ref="P73" authorId="0" shapeId="0" xr:uid="{4A045771-FE28-4986-ABFD-7F538258E41E}">
      <text>
        <r>
          <rPr>
            <b/>
            <sz val="9"/>
            <color indexed="81"/>
            <rFont val="Tahoma"/>
            <family val="2"/>
          </rPr>
          <t>select a.dealer_id
    , count(*) as amt
from dms_sales_contract a
where 1=1 
and a.contract_stat_cd = 'D4'
and a.dealer_id='DT00000'
and retail_sales_dt BETWEEN to_date('202201', 'YYYYMMDD') - interval '95 MONTH'
                    AND to_date('202201', 'YYYYMMDD') + INTERVAL '1 MONTH - 1 day'
group by a.dealer_id</t>
        </r>
      </text>
    </comment>
    <comment ref="O74" authorId="0" shapeId="0" xr:uid="{73652EE9-0E0C-41B7-BB72-12FD4E115832}">
      <text>
        <r>
          <rPr>
            <b/>
            <sz val="9"/>
            <color indexed="81"/>
            <rFont val="Tahoma"/>
            <family val="2"/>
          </rPr>
          <t>select sum(cnt) active_customer_own
from (
    select sales_dealer_id
        , own_type_cd
        , ro_close_crt_cd
        , count(*) as cnt
    from (
        select sales_dealer_id
            , vin
            , substring(min(own_type_cd), 4) as own_type_cd
            , substring(min(ro_close_crt_cd), 4) AS ro_close_crt_cd
        from (
            select crv.sales_dealer_id as sales_dealer_id
                , crv.svc_dealer_id as svc_dealer_id
                , crv.vin
                , case crv.svc_dealer_id when crv.sales_dealer_id then '01_OWN' else '02_OTH' end AS own_type_cd
                , case when crv.ro_close_crt_cd = 'FMS'
                       then '01_FMS'
                       when crv.ro_close_crt_cd = 'PSP'
                       then '02_PSP'
                       when crv.ro_close_crt_cd = 'PO'
                       then '03_PO'
                       when crv.ro_close_crt_cd = 'GR'
                       then '04_GR'
                       when crv.ro_close_crt_cd = 'WT'
                       then '05_WT'
                       when crv.ro_close_crt_cd = 'FMS_1K'
                       then '06_FMS_1K'
                       when crv.ro_close_crt_cd = 'IT'
                       then '07_IT'
                       else '09_BP'
                  end AS ro_close_crt_cd
            from contract_ro_v crv
            where 1=1
            and crv.ro_close_dt between to_date('202301', 'YYYYMMDD') - interval '11 MONTH'
                                and to_date('202301', 'YYYYMMDD') + interval '1 MONTH - 1 day'
            AND crv.retail_sales_dt between to_date('202301', 'YYYYMMDD') - interval '95 MONTH'
                                    and to_date('202301', 'YYYYMMDD') + interval '1 MONTH - 1 day'
--            AND crv.retail_sales_dt between crv.ro_close_dt - interval '95 MONTH'
--                                    and crv.ro_close_dt + interval '1 MONTH - 1 day'
            and crv.repair_type_cd = '1'
            and crv.contract_stat_cd = 'D4'
            and crv.stat_cd != '99'
            and crv.sales_dealer_id = 'DT00000'
        ) a
        group by sales_dealer_id
            , vin
    ) a
    where 1=1
    and own_type_cd = 'OWN'
    group by sales_dealer_id
        , own_type_cd
        , ro_close_crt_cd
    order by ro_close_crt_cd
) a</t>
        </r>
      </text>
    </comment>
    <comment ref="M75" authorId="0" shapeId="0" xr:uid="{7EEAF41E-FE4B-4835-B783-703D0D1C54DF}">
      <text>
        <r>
          <rPr>
            <b/>
            <sz val="9"/>
            <color indexed="81"/>
            <rFont val="Tahoma"/>
            <family val="2"/>
          </rPr>
          <t>SELECT COUNT(*)
FROM OM_CONTRACT A
    , CO_GROUP B
WHERE 1=1
AND A.DEALER_ID=B.GROUP_ID
AND A.CONTRACT_STAT_CD='D4'
AND B.HOLDING_ID = 'DT00000'  
AND TO_CHAR(TO_DATE(LAST_RETAIL_SALES_DT, 'YYYY-MM-DD HH24:MI:SS'), 'YYYYMMDD') BETWEEN TO_CHAR(ADD_MONTHS(TO_DATE('202301' , 'YYYYMM'), -95), 'YYYYMMDD')
                                                                                AND     LAST_DAY(TO_CHAR(ADD_MONTHS(TO_DATE('202301' , 'YYYYMM'), 0), 'YYYYMMDD'))</t>
        </r>
      </text>
    </comment>
    <comment ref="O75" authorId="0" shapeId="0" xr:uid="{E97B47F8-9817-45C9-A7BB-550D29C284F0}">
      <text>
        <r>
          <rPr>
            <b/>
            <sz val="9"/>
            <color indexed="81"/>
            <rFont val="Tahoma"/>
            <family val="2"/>
          </rPr>
          <t xml:space="preserve"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to_date('202301', 'YYYYMMDD') - interval '95 MONTH'
                        AND to_date('202301', 'YYYYMMDD') + INTERVAL '1 MONTH - 1 day'
    group by b.dealer_id
), active_8crt as (
    select a.dealer_id
        , coalesce(SUM(A.OWN_8CNT),0) + coalesce(SUM(A.OTHER_8CNT),0)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to_date('202301', 'YYYYMMDD') - interval '11 MONTH' AND to_date('202301',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to_date('202301', 'YYYYMMDD') - interval '95 MONTH'
                                        AND to_date('202301', 'YYYYMMDD') + INTERVAL '1 MONTH - 1 day'
                    AND RETAIL_SALES_DT BETWEEN A.RO_CLOSE_DT - interval '95 MONTH'
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
</t>
        </r>
      </text>
    </comment>
    <comment ref="M76" authorId="0" shapeId="0" xr:uid="{ED98E6CB-D566-4270-9B35-D1185E843079}">
      <text>
        <r>
          <rPr>
            <b/>
            <sz val="9"/>
            <color indexed="81"/>
            <rFont val="Tahoma"/>
            <family val="2"/>
          </rPr>
          <t>SELECT  NVL(SUM(A.OWN_8CNT),0) AS Active_Cust
FROM    (
        SELECT  A.SALES_HID
                , A.VIN
                , MAX(A.OWN_8CNT) OWN_8CNT
                , DECODE(MAX(A.OWN_8CNT),0,MAX(A.OTHER_8CNT),0) OTHER_8CNT
        FROM    (    
                SELECT  A.SALES_HID, A.VIN
                        , CASE WHEN A.SERVICE_HID=A.SALES_HID THEN 1 ELSE 0 END AS OWN_8CNT
                        , CASE WHEN A.SERVICE_HID!=A.SALES_HID THEN 1 ELSE 0 END AS OTHER_8CNT
                FROM    (    
                        SELECT  DISTINCT C.HOLDING_ID AS SERVICE_HID, DECODE(D.HOLDING_ID,'SK00000','DT00000',D.HOLDING_ID) AS SALES_HID, A.VIN, A.CLOSE_YYYYMM, E.LAST_RETAIL_SALES_DT
                        FROM    SVC_CLOSE_TRAFFIC_LEGACY A
                                , CO_VEHIC B
                                , CO_GROUP C
                                , CO_GROUP D
                                , OM_CONTRACT E
                        WHERE   A.REPAIR_TYPE_CD='1'
                        AND     A.CLOSE_DT BETWEEN TO_CHAR(ADD_MONTHS(TRUNC(TO_DATE('202201','YYYYMM'),'MONTH'),-11),'YYYYMMDD') AND TO_CHAR(LAST_DAY(TO_DATE('202201','YYYYMM')),'YYYYMMDD')
                        AND     A.VIN=B.VIN
                        AND     A.VIN=E.VIN
                        AND     A.SHOP_CD=C.GROUP_ID
                        AND     B.SALES_DEALER_ID=D.GROUP_ID
                        AND     B.LINEOFF_DT IS NOT NULL
                        AND     TO_CHAR(TO_DATE(LAST_RETAIL_SALES_DT, 'YYYY-MM-DD HH24:MI:SS'), 'YYYYMMDD') BETWEEN TO_CHAR(ADD_MONTHS(TO_DATE('202201' , 'YYYYMM'), -95), 'YYYYMMDD')
                        AND     LAST_DAY(TO_CHAR(ADD_MONTHS(TO_DATE('202201' , 'YYYYMM'), 0), 'YYYYMMDD'))
                        AND     TO_CHAR(TO_DATE(LAST_RETAIL_SALES_DT, 'YYYY-MM-DD HH24:MI:SS'), 'YYYYMMDD') BETWEEN TO_CHAR(ADD_MONTHS(TO_DATE('202201', 'YYYYMM'), -95), 'YYYYMMDD')
                        AND     LAST_DAY(TO_CHAR(ADD_MONTHS(TO_DATE(A.CLOSE_YYYYMM, 'YYYYMM'), 0), 'YYYYMMDD'))
                        ) A
                  WHERE     A.SALES_HID='DT00000'  
                ) A                
        GROUP BY A.SALES_HID, A.VIN
        ) A
WHERE   1=1</t>
        </r>
      </text>
    </comment>
    <comment ref="O76" authorId="0" shapeId="0" xr:uid="{6FD11D99-F54C-4601-8FEB-AEB0FA587CCF}">
      <text>
        <r>
          <rPr>
            <b/>
            <sz val="9"/>
            <color indexed="81"/>
            <rFont val="Tahoma"/>
            <family val="2"/>
          </rPr>
          <t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to_date('202201', 'YYYYMMDD') - interval '95 MONTH'
                        AND to_date('202201', 'YYYYMMDD') + INTERVAL '1 MONTH - 1 day'
    group by b.dealer_id
), active_8crt as (
    select a.dealer_id
        , coalesce(SUM(A.OWN_8CNT),0)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to_date('202201', 'YYYYMMDD') - interval '11 MONTH' AND to_date('202201',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to_date('202201', 'YYYYMMDD') - interval '95 MONTH'
                                        AND to_date('202201', 'YYYYMMDD') + INTERVAL '1 MONTH - 1 day'
                    AND RETAIL_SALES_DT BETWEEN A.RO_CLOSE_DT - interval '95 MONTH'
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</t>
        </r>
      </text>
    </comment>
    <comment ref="M77" authorId="0" shapeId="0" xr:uid="{A7E28B26-D30F-40D7-AF85-3553FAF447C8}">
      <text>
        <r>
          <rPr>
            <b/>
            <sz val="9"/>
            <color indexed="81"/>
            <rFont val="Tahoma"/>
            <family val="2"/>
          </rPr>
          <t>SELECT  NVL(SUM(A.OWN_8CNT),0) + NVL(SUM(A.OTHER_8CNT),0) AS Active_Cust
FROM    (
        SELECT  A.SALES_HID
                , A.VIN
                , MAX(A.OWN_8CNT) OWN_8CNT
                , DECODE(MAX(A.OWN_8CNT),0,MAX(A.OTHER_8CNT),0) OTHER_8CNT
        FROM    (    
                SELECT  A.SALES_HID, A.VIN
                        , CASE WHEN A.SERVICE_HID=A.SALES_HID THEN 1 ELSE 0 END AS OWN_8CNT
                        , CASE WHEN A.SERVICE_HID!=A.SALES_HID THEN 1 ELSE 0 END AS OTHER_8CNT
                FROM    (    
                        SELECT  DISTINCT C.HOLDING_ID AS SERVICE_HID, DECODE(D.HOLDING_ID,'SK00000','DT00000',D.HOLDING_ID) AS SALES_HID, A.VIN, A.CLOSE_YYYYMM, E.LAST_RETAIL_SALES_DT
                        FROM    SVC_CLOSE_TRAFFIC_LEGACY A
                                , CO_VEHIC B
                                , CO_GROUP C
                                , CO_GROUP D
                                , OM_CONTRACT E
                        WHERE   A.REPAIR_TYPE_CD='1'
                        AND     A.CLOSE_DT BETWEEN TO_CHAR(ADD_MONTHS(TRUNC(TO_DATE('202301','YYYYMM'),'MONTH'),-11),'YYYYMMDD') AND TO_CHAR(LAST_DAY(TO_DATE('202301','YYYYMM')),'YYYYMMDD')
                        AND     A.VIN=B.VIN
                        AND     A.VIN=E.VIN
                        AND     A.SHOP_CD=C.GROUP_ID
                        AND     B.SALES_DEALER_ID=D.GROUP_ID
                        AND     B.LINEOFF_DT IS NOT NULL
                        AND     TO_CHAR(TO_DATE(LAST_RETAIL_SALES_DT, 'YYYY-MM-DD HH24:MI:SS'), 'YYYYMMDD') BETWEEN TO_CHAR(ADD_MONTHS(TO_DATE('202301' , 'YYYYMM'), -95), 'YYYYMMDD')
                        AND     LAST_DAY(TO_CHAR(ADD_MONTHS(TO_DATE('202301' , 'YYYYMM'), 0), 'YYYYMMDD'))
                        AND     TO_CHAR(TO_DATE(LAST_RETAIL_SALES_DT, 'YYYY-MM-DD HH24:MI:SS'), 'YYYYMMDD') BETWEEN TO_CHAR(ADD_MONTHS(TO_DATE('202301', 'YYYYMM'), -95), 'YYYYMMDD')
                        AND     LAST_DAY(TO_CHAR(ADD_MONTHS(TO_DATE(A.CLOSE_YYYYMM, 'YYYYMM'), 0), 'YYYYMMDD'))
                        ) A
                  WHERE     A.SALES_HID='DT00000'  
                ) A                
        GROUP BY A.SALES_HID, A.VIN
        ) A
WHERE   1=1</t>
        </r>
      </text>
    </comment>
    <comment ref="O77" authorId="0" shapeId="0" xr:uid="{6020AE53-0685-4C72-A150-320D10987867}">
      <text>
        <r>
          <rPr>
            <b/>
            <sz val="9"/>
            <color indexed="81"/>
            <rFont val="Tahoma"/>
            <family val="2"/>
          </rPr>
          <t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to_date('202301', 'YYYYMMDD') - interval '95 MONTH'
                        AND to_date('202301', 'YYYYMMDD') + INTERVAL '1 MONTH - 1 day'
    group by b.dealer_id
), active_8crt as (
    select a.dealer_id
        , coalesce(SUM(A.OWN_8CNT),0) + coalesce(SUM(A.OTHER_8CNT),0)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to_date('202301', 'YYYYMMDD') - interval '11 MONTH' AND to_date('202301',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to_date('202301', 'YYYYMMDD') - interval '95 MONTH'
                                        AND to_date('202301', 'YYYYMMDD') + INTERVAL '1 MONTH - 1 day'
--                    AND RETAIL_SALES_DT BETWEEN A.RO_CLOSE_DT - interval '95 MONTH'
--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</t>
        </r>
      </text>
    </comment>
    <comment ref="M78" authorId="0" shapeId="0" xr:uid="{428354C6-C9A5-4568-A628-B9072C3F5A0F}">
      <text>
        <r>
          <rPr>
            <b/>
            <sz val="9"/>
            <color indexed="81"/>
            <rFont val="Tahoma"/>
            <family val="2"/>
          </rPr>
          <t>SELECT  NVL(SUM(A.OWN_8CNT),0) + NVL(SUM(A.OTHER_8CNT),0) AS Active_Cust
FROM    (
        SELECT  A.SALES_HID
                , A.VIN
                , MAX(A.OWN_8CNT) OWN_8CNT
                , DECODE(MAX(A.OWN_8CNT),0,MAX(A.OTHER_8CNT),0) OTHER_8CNT
        FROM    (    
                SELECT  A.SALES_HID, A.VIN
                        , CASE WHEN A.SERVICE_HID=A.SALES_HID THEN 1 ELSE 0 END AS OWN_8CNT
                        , CASE WHEN A.SERVICE_HID!=A.SALES_HID THEN 1 ELSE 0 END AS OTHER_8CNT
                FROM    (    
                        SELECT  DISTINCT C.HOLDING_ID AS SERVICE_HID, DECODE(D.HOLDING_ID,'SK00000','DT00000',D.HOLDING_ID) AS SALES_HID, A.VIN, A.CLOSE_YYYYMM, E.LAST_RETAIL_SALES_DT
                        FROM    SVC_CLOSE_TRAFFIC_LEGACY A
                                , CO_VEHIC B
                                , CO_GROUP C
                                , CO_GROUP D
                                , OM_CONTRACT E
                        WHERE   A.REPAIR_TYPE_CD='1'
                        AND     A.CLOSE_DT BETWEEN TO_CHAR(ADD_MONTHS(TRUNC(TO_DATE('202201','YYYYMM'),'MONTH'),-11),'YYYYMMDD') AND TO_CHAR(LAST_DAY(TO_DATE('202201','YYYYMM')),'YYYYMMDD')
                        AND     A.VIN=B.VIN
                        AND     A.VIN=E.VIN
                        AND     A.SHOP_CD=C.GROUP_ID
                        AND     B.SALES_DEALER_ID=D.GROUP_ID
                        AND     B.LINEOFF_DT IS NOT NULL
                        AND     TO_CHAR(TO_DATE(LAST_RETAIL_SALES_DT, 'YYYY-MM-DD HH24:MI:SS'), 'YYYYMMDD') BETWEEN TO_CHAR(ADD_MONTHS(TO_DATE('202201' , 'YYYYMM'), -95), 'YYYYMMDD')
                        AND     LAST_DAY(TO_CHAR(ADD_MONTHS(TO_DATE('202201' , 'YYYYMM'), 0), 'YYYYMMDD'))
                        AND     TO_CHAR(TO_DATE(LAST_RETAIL_SALES_DT, 'YYYY-MM-DD HH24:MI:SS'), 'YYYYMMDD') BETWEEN TO_CHAR(ADD_MONTHS(TO_DATE('202201', 'YYYYMM'), -95), 'YYYYMMDD')
                        AND     LAST_DAY(TO_CHAR(ADD_MONTHS(TO_DATE(A.CLOSE_YYYYMM, 'YYYYMM'), 0), 'YYYYMMDD'))
                        ) A
                  WHERE     A.SALES_HID='DT00000'  
                ) A                
        GROUP BY A.SALES_HID, A.VIN
        ) A
WHERE   1=1</t>
        </r>
      </text>
    </comment>
    <comment ref="O78" authorId="0" shapeId="0" xr:uid="{0BA142FB-AC2E-499A-A046-E799202E2C48}">
      <text>
        <r>
          <rPr>
            <b/>
            <sz val="9"/>
            <color indexed="81"/>
            <rFont val="Tahoma"/>
            <family val="2"/>
          </rPr>
          <t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to_date('202201', 'YYYYMMDD') - interval '95 MONTH'
                        AND to_date('202201', 'YYYYMMDD') + INTERVAL '1 MONTH - 1 day'
    group by b.dealer_id
), active_8crt as (
    select a.dealer_id
        , coalesce(SUM(A.OWN_8CNT),0) + coalesce(SUM(A.OTHER_8CNT),0)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to_date('202201', 'YYYYMMDD') - interval '11 MONTH' AND to_date('202201',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to_date('202201', 'YYYYMMDD') - interval '95 MONTH'
                                        AND to_date('202201', 'YYYYMMDD') + INTERVAL '1 MONTH - 1 day'
                    AND RETAIL_SALES_DT BETWEEN A.RO_CLOSE_DT - interval '95 MONTH'
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</t>
        </r>
      </text>
    </comment>
    <comment ref="M79" authorId="0" shapeId="0" xr:uid="{FAAC5FD1-BA6F-4A8F-857C-BECA96FBA1C9}">
      <text>
        <r>
          <rPr>
            <b/>
            <sz val="9"/>
            <color indexed="81"/>
            <rFont val="Tahoma"/>
            <family val="2"/>
          </rPr>
          <t>WITH WITH_PARAM AS (
    SELECT '202301' AS YYYY_MM
        ,SUBSTR('202301', 1, 4)  AS YYYY
        ,'DT00000' AS dealer_id
    FROM DUAL
), WITH_PERIOD AS (
    SELECT TO_CHAR(ADD_MONTHS(TO_DATE(A.YYYY_MM,'YYYYMM'), -11),'YYYYMMDD')           AS SVC_START_DT
       , TO_CHAR(LAST_DAY(ADD_MONTHS(TO_DATE(A.YYYY_MM, 'YYYYMM'),0) ),'YYYYMMDD')  AS SVC_END_DT
       , TO_CHAR(ADD_MONTHS(TO_DATE(A.YYYY_MM,'YYYYMM'), -95),'YYYYMMDD')           AS DELIVERY_START_DT
       , TO_CHAR(LAST_DAY(ADD_MONTHS(TO_DATE(A.YYYY_MM, 'YYYYMM'),0) ),'YYYYMMDD')  AS DELIVERY_END_DT
       , TO_CHAR(ADD_MONTHS(TO_DATE(A.YYYY_MM, 'YYYYMM'), -95), 'YYYY')             AS START_YEAR
       , A.*
    FROM WITH_PARAM A)
, WITH_DEL_YEAR AS (
    SELECT TO_CHAR(START_YEAR+ (ROWNUM-1)) AS DELIVERY_YEAR
    FROM WITH_PERIOD
    CONNECT BY LEVEL &lt; (TO_NUMBER(YYYY)-START_YEAR)+2
), WITH_SHOP_CD AS(
    SELECT GROUP_ID DEALER_ID, GROUP_NAME DEALER_NM, DSPY_RANK AS DSPY_RANK
    FROM CO_HOLDINGS
    WHERE GROUP_TYPE = 'S'
    AND USE_YN = 'Y'
    AND GROUP_ID != 'SK00000'
    AND (GROUP_ID = 'DT00000' OR SUBSTR('DT00000',0,2) = 'TM')
)
SELECT SUM(CNT)
FROM (
    SELECT SALES_DEALER_ID,
        SUBSTR(OWN_CD, 5) AS OWN_CD,
        SUBSTR(NEW_RO_TYPE_CD, 5) AS NEW_RO_TYPE_CD,
        DELIVERY_YEAR,
        COUNT (VIN) AS CNT
    FROM (
        SELECT SALES_DEALER_ID,
            VIN,
            DELIVERY_YEAR,
            MIN(DECODE(SALES_DEALER_ID, SERVICE_DEALER_ID, '010.OWN', '020.OTH')) AS OWN_CD,
            MIN (NEW_RO_TYPE_CD) AS NEW_RO_TYPE_CD
        FROM (SELECT A.VIN,
                   A.DEALER_ID AS SALES_DEALER_ID,
                   A.SERVICE_DEALER_ID,
                   TO_CHAR (TO_DATE (A.DELIVERY_DT, 'YYYY-MM-DD'), 'YYYY') AS DELIVERY_YEAR,
                   CASE WHEN A.NEW_RO_TYPE_CD = 'F' AND A.RO_TYPE_CD_ORGN = 'F'
                        THEN '021.FMS'
                        WHEN A.NEW_RO_TYPE_CD = 'F' AND A.RO_TYPE_CD_ORGN = 'Y'
                        THEN '022.PSP'
                        WHEN A.NEW_RO_TYPE_CD = 'F' AND A.RO_TYPE_CD_ORGN NOT IN ('F', 'Y')
                        THEN '023.PM_Others'
                        WHEN A.NEW_RO_TYPE_CD IN ('G', 'I', 'Y', 'P')
                        THEN '024.GR'
                        WHEN A.NEW_RO_TYPE_CD = 'W'
                        THEN '030.Warranty'
                        WHEN A.NEW_RO_TYPE_CD = '1K'
                        THEN '040.1K'
                        WHEN A.NEW_RO_TYPE_CD = 'S'
                        THEN '050.Internal'
                        ELSE '999.Total'
                   END AS NEW_RO_TYPE_CD
              FROM (SELECT (SELECT CASE WHEN UP_GROUP_ID = 'SK00000'
                                        THEN 'DT00000'
                                        ELSE HOLDING_ID
                                   END
                            FROM CO_GROUP
                            WHERE GROUP_ID = A.SHOP_CD
                            ) AS SERVICE_DEALER_ID,
                          A.*
                      FROM (SELECT A.*,
                                   CASE WHEN B.LINEOFF_DT IS NULL THEN 'Y' 
                                        ELSE 'N'
                                   END AS GRAY_YN,
                                   (SELECT CASE WHEN B.SALES_DEALER_ID = 'SK00000' 
                                                THEN 'DT00000'
                                                ELSE HOLDING_ID
                                           END
                                    FROM CO_GROUP
                                    WHERE GROUP_ID =  B.SALES_DEALER_ID ) AS DEALER_ID, 
                                   B.DELIVERY_DT,
                                   RANK () OVER (PARTITION BY A.VIN ORDER BY A.PROPO_DT DESC) AS RK
                              FROM (  SELECT A.SHOP_CD,
                                             A.PROPO_DT,
                                             A.VIN,
                                             A.CLOSE_DT,
                                             A.NEW_RO_TYPE_CD,
                                             A.RO_TYPE_CD_ORGN
                                        FROM SVC_CLOSE_TRAFFIC_LEGACY A,
                                             WITH_PERIOD P,
                                             OM_CONTRACT B
                                       WHERE 1 = 1
                                             AND A.REPAIR_TYPE_CD = '1'
                                             AND A.CLOSE_DT BETWEEN P.SVC_START_DT
                                                                AND  P.SVC_END_DT
                                            AND A.VIN IN (SELECT VIN FROM OM_CONTRACT WHERE REPLACE(SUBSTR(LAST_RETAIL_SALES_DT,1,10),'-' ,'') 
                                                                     BETWEEN TO_CHAR(ADD_MONTHS(TO_DATE(A.CLOSE_YYYYMM||'01'),-95),'YYYYMMDD') 
                                                                     AND TO_CHAR (LAST_DAY (ADD_MONTHS (TO_DATE (A.CLOSE_YYYYMM, 'YYYYMM'), 0)),'YYYYMMDD'))     
                                             AND A.VIN = B.VIN
                                            AND B.CONTRACT_STAT_CD = 'D4'
                                            AND REPLACE ( SUBSTR ( LAST_RETAIL_SALES_DT, 1, 10), '-','') BETWEEN P.DELIVERY_START_DT AND P.DELIVERY_END_DT  
                                    GROUP BY A.SHOP_CD,
                                             A.PROPO_DT,
                                             A.VIN,
                                             A.CLOSE_DT,
                                             A.RO_TYPE_CD_ORGN,
                                             A.NEW_RO_TYPE_CD) A,
                                   CO_VEHIC B,
                                   VS_VARIANT V
                             WHERE 1 = 1
                               AND A.VIN = B.VIN
                               AND B.VARIANT_CD = V.VARIANT_CD(+)
                     ) A,
                         WITH_SHOP_CD S
                     WHERE     1 = 1
                     AND A.GRAY_YN = 'N'
                     AND A.DEALER_ID = S.DEALER_ID
                       --    and A.RK =1 
                           ) A)
          GROUP BY SALES_DEALER_ID, VIN, DELIVERY_YEAR)
    GROUP BY SALES_DEALER_ID,
        OWN_CD,
        NEW_RO_TYPE_CD,
        DELIVERY_YEAR
)
WHERE 1=1
AND NEW_RO_TYPE_CD IN ('FMS', '1K')</t>
        </r>
      </text>
    </comment>
    <comment ref="N79" authorId="0" shapeId="0" xr:uid="{9B871870-375A-466D-9D71-ED6D3AB4CC52}">
      <text>
        <r>
          <rPr>
            <b/>
            <sz val="9"/>
            <color indexed="81"/>
            <rFont val="Tahoma"/>
            <family val="2"/>
          </rPr>
          <t>SELECT  NVL(SUM(A.OWN_8CNT),0) + NVL(SUM(A.OTHER_8CNT),0) AS Active_Cust
FROM    (
        SELECT  A.SALES_HID
                , A.VIN
                , MAX(A.OWN_8CNT) OWN_8CNT
                , DECODE(MAX(A.OWN_8CNT),0,MAX(A.OTHER_8CNT),0) OTHER_8CNT
        FROM    (    
                SELECT  A.SALES_HID, A.VIN
                        , CASE WHEN A.SERVICE_HID=A.SALES_HID THEN 1 ELSE 0 END AS OWN_8CNT
                        , CASE WHEN A.SERVICE_HID!=A.SALES_HID THEN 1 ELSE 0 END AS OTHER_8CNT
                FROM    (    
                        SELECT  DISTINCT C.HOLDING_ID AS SERVICE_HID, DECODE(D.HOLDING_ID,'SK00000','DT00000',D.HOLDING_ID) AS SALES_HID, A.VIN, A.CLOSE_YYYYMM, E.LAST_RETAIL_SALES_DT
                        FROM    SVC_CLOSE_TRAFFIC_LEGACY A
                                , CO_VEHIC B
                                , CO_GROUP C
                                , CO_GROUP D
                                , OM_CONTRACT E
                        WHERE   A.REPAIR_TYPE_CD='1'
                        AND     A.CLOSE_DT BETWEEN TO_CHAR(ADD_MONTHS(TRUNC(TO_DATE('202301','YYYYMM'),'MONTH'),-11),'YYYYMMDD') AND TO_CHAR(LAST_DAY(TO_DATE('202301','YYYYMM')),'YYYYMMDD')
                        AND     A.VIN=B.VIN
                        AND     A.VIN=E.VIN
                        AND     A.SHOP_CD=C.GROUP_ID
                        AND     B.SALES_DEALER_ID=D.GROUP_ID
                        AND     B.LINEOFF_DT IS NOT NULL
                        AND     TO_CHAR(TO_DATE(LAST_RETAIL_SALES_DT, 'YYYY-MM-DD HH24:MI:SS'), 'YYYYMMDD') BETWEEN TO_CHAR(ADD_MONTHS(TO_DATE('202301' , 'YYYYMM'), -95), 'YYYYMMDD')
                        AND     LAST_DAY(TO_CHAR(ADD_MONTHS(TO_DATE('202301' , 'YYYYMM'), 0), 'YYYYMMDD'))
                        AND     TO_CHAR(TO_DATE(LAST_RETAIL_SALES_DT, 'YYYY-MM-DD HH24:MI:SS'), 'YYYYMMDD') BETWEEN TO_CHAR(ADD_MONTHS(TO_DATE('202301', 'YYYYMM'), -95), 'YYYYMMDD')
                        AND     LAST_DAY(TO_CHAR(ADD_MONTHS(TO_DATE(A.CLOSE_YYYYMM, 'YYYYMM'), 0), 'YYYYMMDD'))
                        ) A
                  WHERE     A.SALES_HID='DT00000'  
                ) A                
        GROUP BY A.SALES_HID, A.VIN
        ) A
WHERE   1=1</t>
        </r>
      </text>
    </comment>
    <comment ref="O79" authorId="0" shapeId="0" xr:uid="{AD6EEE91-D974-4B7C-8D46-21AADE5B65FD}">
      <text>
        <r>
          <rPr>
            <b/>
            <sz val="9"/>
            <color indexed="81"/>
            <rFont val="Tahoma"/>
            <family val="2"/>
          </rPr>
          <t>select sum(val)
from (
    select A.SALES_DEALER_ID
            , substring(OWN_TYPE_CD, 4) as own_type_cd 
            , substring(RO_CLOSE_CRT_CD, 4) as ro_close_crt_cd
            , COUNT(*) as VAL
    from (
            SELECT A.SALES_DEALER_ID, A.VIN
                , MIN(OWN_TYPE_CD) as OWN_TYPE_CD
                , MIN(RO_CLOSE_CRT_CD) as RO_CLOSE_CRT_CD
            FROM (
                SELECT SALES_DEALER_ID
                    , VIN
                    , case A.DEALER_ID when A.SALES_DEALER_ID then '01_OWN' else '02_OTH' end AS OWN_TYPE_CD
                    , CASE WHEN RO_CLOSE_CRT_CD = 'FMS'
                           THEN '01_FMS'
                           WHEN RO_CLOSE_CRT_CD = 'PSP'
                           THEN '02_PSP'
                           WHEN RO_CLOSE_CRT_CD = 'PO'
                           THEN '03_PO'
                           WHEN RO_CLOSE_CRT_CD = 'GR'
                           THEN '04_GR'
                           WHEN RO_CLOSE_CRT_CD = 'WT'
                           THEN '05_WT'
                           WHEN RO_CLOSE_CRT_CD = 'FMS_1K'
                           THEN '06_FMS_1K'
                           WHEN RO_CLOSE_CRT_CD = 'IT'
                           THEN '07_IT'
                           ELSE '09_BP'
                      END AS RO_CLOSE_CRT_CD
                FROM (    
                    SELECT DISTINCT C.DEALER_ID AS DEALER_ID
                        , case when D.DEALER_ID = 'SK00000'
                               then 'DT00000'
                               else D.DEALER_ID
                          end as  SALES_DEALER_ID
                        , A.VIN, A.RO_CLOSE_DT, E.RETAIL_SALES_DT, RO_CLOSE_CRT_CD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to_date('202301', 'YYYYMMDD') - interval '11 MONTH' AND to_date('202301',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to_date('202301', 'YYYYMMDD') - interval '95 MONTH'
                                        AND to_date('202301', 'YYYYMMDD') + INTERVAL '1 MONTH - 1 day'
                    AND RETAIL_SALES_DT BETWEEN A.RO_CLOSE_DT - interval '95 MONTH'
                                        AND A.RO_CLOSE_DT + INTERVAL '1 MONTH - 1 day'
                ) A
                WHERE 1=1
                AND A.SALES_DEALER_ID = 'DT00000'
            ) A
            WHERE 1=1
            GROUP BY A.SALES_DEALER_ID, A.VIN
    ) A
    where 1=1
    group by A.SALES_DEALER_ID
        , A.OWN_TYPE_CD
        , A.RO_CLOSE_CRT_CD
) a
where 1=1
and ro_close_crt_cd in ('FMS', 'FMS_1K')</t>
        </r>
      </text>
    </comment>
    <comment ref="P79" authorId="0" shapeId="0" xr:uid="{48F07A33-85F0-45DA-95A5-00535568BBCC}">
      <text>
        <r>
          <rPr>
            <b/>
            <sz val="9"/>
            <color indexed="81"/>
            <rFont val="Tahoma"/>
            <family val="2"/>
          </rPr>
          <t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to_date('202301', 'YYYYMMDD') - interval '95 MONTH'
                        AND to_date('202301', 'YYYYMMDD') + INTERVAL '1 MONTH - 1 day'
    group by b.dealer_id
), active_8crt as (
    select a.dealer_id
        , coalesce(SUM(A.OWN_8CNT),0) + coalesce(SUM(A.OTHER_8CNT),0)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to_date('202301', 'YYYYMMDD') - interval '11 MONTH' AND to_date('202301',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to_date('202301', 'YYYYMMDD') - interval '95 MONTH'
                                        AND to_date('202301', 'YYYYMMDD') + INTERVAL '1 MONTH - 1 day'
--                    AND RETAIL_SALES_DT BETWEEN A.RO_CLOSE_DT - interval '95 MONTH'
--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</t>
        </r>
      </text>
    </comment>
    <comment ref="M80" authorId="0" shapeId="0" xr:uid="{7B28AE87-79F8-4B02-871E-8986EF9CFF12}">
      <text>
        <r>
          <rPr>
            <b/>
            <sz val="9"/>
            <color indexed="81"/>
            <rFont val="Tahoma"/>
            <family val="2"/>
          </rPr>
          <t>WITH WITH_PARAM AS (
    SELECT '202201' AS YYYY_MM
        ,SUBSTR('202201', 1, 4)  AS YYYY
        ,'DT00000' AS dealer_id
    FROM DUAL
), WITH_PERIOD AS (
    SELECT TO_CHAR(ADD_MONTHS(TO_DATE(A.YYYY_MM,'YYYYMM'), -11),'YYYYMMDD')           AS SVC_START_DT
       , TO_CHAR(LAST_DAY(ADD_MONTHS(TO_DATE(A.YYYY_MM, 'YYYYMM'),0) ),'YYYYMMDD')  AS SVC_END_DT
       , TO_CHAR(ADD_MONTHS(TO_DATE(A.YYYY_MM,'YYYYMM'), -95),'YYYYMMDD')           AS DELIVERY_START_DT
       , TO_CHAR(LAST_DAY(ADD_MONTHS(TO_DATE(A.YYYY_MM, 'YYYYMM'),0) ),'YYYYMMDD')  AS DELIVERY_END_DT
       , TO_CHAR(ADD_MONTHS(TO_DATE(A.YYYY_MM, 'YYYYMM'), -95), 'YYYY')             AS START_YEAR
       , A.*
    FROM WITH_PARAM A)
, WITH_DEL_YEAR AS (
    SELECT TO_CHAR(START_YEAR+ (ROWNUM-1)) AS DELIVERY_YEAR
    FROM WITH_PERIOD
    CONNECT BY LEVEL &lt; (TO_NUMBER(YYYY)-START_YEAR)+2
), WITH_SHOP_CD AS(
    SELECT GROUP_ID DEALER_ID, GROUP_NAME DEALER_NM, DSPY_RANK AS DSPY_RANK
    FROM CO_HOLDINGS
    WHERE GROUP_TYPE = 'S'
    AND USE_YN = 'Y'
    AND GROUP_ID != 'SK00000'
    AND (GROUP_ID = 'DT00000' OR SUBSTR('DT00000',0,2) = 'TM')
)
SELECT SUM(CNT)
FROM (
    SELECT SALES_DEALER_ID,
        SUBSTR(OWN_CD, 5) AS OWN_CD,
        SUBSTR(NEW_RO_TYPE_CD, 5) AS NEW_RO_TYPE_CD,
        DELIVERY_YEAR,
        COUNT (VIN) AS CNT
    FROM (
        SELECT SALES_DEALER_ID,
            VIN,
            DELIVERY_YEAR,
            MIN(DECODE(SALES_DEALER_ID, SERVICE_DEALER_ID, '010.OWN', '020.OTH')) AS OWN_CD,
            MIN (NEW_RO_TYPE_CD) AS NEW_RO_TYPE_CD
        FROM (SELECT A.VIN,
                   A.DEALER_ID AS SALES_DEALER_ID,
                   A.SERVICE_DEALER_ID,
                   TO_CHAR (TO_DATE (A.DELIVERY_DT, 'YYYY-MM-DD'), 'YYYY') AS DELIVERY_YEAR,
                   CASE WHEN A.NEW_RO_TYPE_CD = 'F' AND A.RO_TYPE_CD_ORGN = 'F'
                        THEN '021.FMS'
                        WHEN A.NEW_RO_TYPE_CD = 'F' AND A.RO_TYPE_CD_ORGN = 'Y'
                        THEN '022.PSP'
                        WHEN A.NEW_RO_TYPE_CD = 'F' AND A.RO_TYPE_CD_ORGN NOT IN ('F', 'Y')
                        THEN '023.PM_Others'
                        WHEN A.NEW_RO_TYPE_CD IN ('G', 'I', 'Y', 'P')
                        THEN '024.GR'
                        WHEN A.NEW_RO_TYPE_CD = 'W'
                        THEN '030.Warranty'
                        WHEN A.NEW_RO_TYPE_CD = '1K'
                        THEN '040.1K'
                        WHEN A.NEW_RO_TYPE_CD = 'S'
                        THEN '050.Internal'
                        ELSE '999.Total'
                   END AS NEW_RO_TYPE_CD
              FROM (SELECT (SELECT CASE WHEN UP_GROUP_ID = 'SK00000'
                                        THEN 'DT00000'
                                        ELSE HOLDING_ID
                                   END
                            FROM CO_GROUP
                            WHERE GROUP_ID = A.SHOP_CD
                            ) AS SERVICE_DEALER_ID,
                          A.*
                      FROM (SELECT A.*,
                                   CASE WHEN B.LINEOFF_DT IS NULL THEN 'Y' 
                                        ELSE 'N'
                                   END AS GRAY_YN,
                                   (SELECT CASE WHEN B.SALES_DEALER_ID = 'SK00000' 
                                                THEN 'DT00000'
                                                ELSE HOLDING_ID
                                           END
                                    FROM CO_GROUP
                                    WHERE GROUP_ID =  B.SALES_DEALER_ID ) AS DEALER_ID, 
                                   B.DELIVERY_DT,
                                   RANK () OVER (PARTITION BY A.VIN ORDER BY A.PROPO_DT DESC) AS RK
                              FROM (  SELECT A.SHOP_CD,
                                             A.PROPO_DT,
                                             A.VIN,
                                             A.CLOSE_DT,
                                             A.NEW_RO_TYPE_CD,
                                             A.RO_TYPE_CD_ORGN
                                        FROM SVC_CLOSE_TRAFFIC_LEGACY A,
                                             WITH_PERIOD P,
                                             OM_CONTRACT B
                                       WHERE 1 = 1
                                             AND A.REPAIR_TYPE_CD = '1'
                                             AND A.CLOSE_DT BETWEEN P.SVC_START_DT
                                                                AND  P.SVC_END_DT
                                            AND A.VIN IN (SELECT VIN FROM OM_CONTRACT WHERE REPLACE(SUBSTR(LAST_RETAIL_SALES_DT,1,10),'-' ,'') 
                                                                     BETWEEN TO_CHAR(ADD_MONTHS(TO_DATE(A.CLOSE_YYYYMM||'01'),-95),'YYYYMMDD') 
                                                                     AND TO_CHAR (LAST_DAY (ADD_MONTHS (TO_DATE (A.CLOSE_YYYYMM, 'YYYYMM'), 0)),'YYYYMMDD'))     
                                             AND A.VIN = B.VIN
                                            AND B.CONTRACT_STAT_CD = 'D4'
                                            AND REPLACE ( SUBSTR ( LAST_RETAIL_SALES_DT, 1, 10), '-','') BETWEEN P.DELIVERY_START_DT AND P.DELIVERY_END_DT  
                                    GROUP BY A.SHOP_CD,
                                             A.PROPO_DT,
                                             A.VIN,
                                             A.CLOSE_DT,
                                             A.RO_TYPE_CD_ORGN,
                                             A.NEW_RO_TYPE_CD) A,
                                   CO_VEHIC B,
                                   VS_VARIANT V
                             WHERE 1 = 1
                               AND A.VIN = B.VIN
                               AND B.VARIANT_CD = V.VARIANT_CD(+)
                     ) A,
                         WITH_SHOP_CD S
                     WHERE     1 = 1
                     AND A.GRAY_YN = 'N'
                     AND A.DEALER_ID = S.DEALER_ID
                       --    and A.RK =1 
                           ) A)
          GROUP BY SALES_DEALER_ID, VIN, DELIVERY_YEAR)
    GROUP BY SALES_DEALER_ID,
        OWN_CD,
        NEW_RO_TYPE_CD,
        DELIVERY_YEAR
)
WHERE 1=1
AND NEW_RO_TYPE_CD IN ('FMS', '1K')</t>
        </r>
      </text>
    </comment>
    <comment ref="N80" authorId="0" shapeId="0" xr:uid="{87608B75-4AB7-4A44-BC7F-7E128DBB921F}">
      <text>
        <r>
          <rPr>
            <b/>
            <sz val="9"/>
            <color indexed="81"/>
            <rFont val="Tahoma"/>
            <family val="2"/>
          </rPr>
          <t>SELECT  NVL(SUM(A.OWN_8CNT),0) + NVL(SUM(A.OTHER_8CNT),0) AS Active_Cust
FROM    (
        SELECT  A.SALES_HID
                , A.VIN
                , MAX(A.OWN_8CNT) OWN_8CNT
                , DECODE(MAX(A.OWN_8CNT),0,MAX(A.OTHER_8CNT),0) OTHER_8CNT
        FROM    (    
                SELECT  A.SALES_HID, A.VIN
                        , CASE WHEN A.SERVICE_HID=A.SALES_HID THEN 1 ELSE 0 END AS OWN_8CNT
                        , CASE WHEN A.SERVICE_HID!=A.SALES_HID THEN 1 ELSE 0 END AS OTHER_8CNT
                FROM    (    
                        SELECT  DISTINCT C.HOLDING_ID AS SERVICE_HID, DECODE(D.HOLDING_ID,'SK00000','DT00000',D.HOLDING_ID) AS SALES_HID, A.VIN, A.CLOSE_YYYYMM, E.LAST_RETAIL_SALES_DT
                        FROM    SVC_CLOSE_TRAFFIC_LEGACY A
                                , CO_VEHIC B
                                , CO_GROUP C
                                , CO_GROUP D
                                , OM_CONTRACT E
                        WHERE   A.REPAIR_TYPE_CD='1'
                        AND     A.CLOSE_DT BETWEEN TO_CHAR(ADD_MONTHS(TRUNC(TO_DATE('202201','YYYYMM'),'MONTH'),-11),'YYYYMMDD') AND TO_CHAR(LAST_DAY(TO_DATE('202201','YYYYMM')),'YYYYMMDD')
                        AND     A.VIN=B.VIN
                        AND     A.VIN=E.VIN
                        AND     A.SHOP_CD=C.GROUP_ID
                        AND     B.SALES_DEALER_ID=D.GROUP_ID
                        AND     B.LINEOFF_DT IS NOT NULL
                        AND     TO_CHAR(TO_DATE(LAST_RETAIL_SALES_DT, 'YYYY-MM-DD HH24:MI:SS'), 'YYYYMMDD') BETWEEN TO_CHAR(ADD_MONTHS(TO_DATE('202201' , 'YYYYMM'), -95), 'YYYYMMDD')
                        AND     LAST_DAY(TO_CHAR(ADD_MONTHS(TO_DATE('202201' , 'YYYYMM'), 0), 'YYYYMMDD'))
                        AND     TO_CHAR(TO_DATE(LAST_RETAIL_SALES_DT, 'YYYY-MM-DD HH24:MI:SS'), 'YYYYMMDD') BETWEEN TO_CHAR(ADD_MONTHS(TO_DATE('202201', 'YYYYMM'), -95), 'YYYYMMDD')
                        AND     LAST_DAY(TO_CHAR(ADD_MONTHS(TO_DATE(A.CLOSE_YYYYMM, 'YYYYMM'), 0), 'YYYYMMDD'))
                        ) A
                  WHERE     A.SALES_HID='DT00000'  
                ) A                
        GROUP BY A.SALES_HID, A.VIN
        ) A
WHERE   1=1</t>
        </r>
      </text>
    </comment>
    <comment ref="O80" authorId="0" shapeId="0" xr:uid="{FDBE802C-7F07-4DE9-86CD-B58F07D89CA2}">
      <text>
        <r>
          <rPr>
            <b/>
            <sz val="9"/>
            <color indexed="81"/>
            <rFont val="Tahoma"/>
            <family val="2"/>
          </rPr>
          <t>select sum(val)
from (
    select A.SALES_DEALER_ID
            , substring(OWN_TYPE_CD, 4) as own_type_cd 
            , substring(RO_CLOSE_CRT_CD, 4) as ro_close_crt_cd
            , COUNT(*) as VAL
    from (
            SELECT A.SALES_DEALER_ID, A.VIN
                , MIN(OWN_TYPE_CD) as OWN_TYPE_CD
                , MIN(RO_CLOSE_CRT_CD) as RO_CLOSE_CRT_CD
            FROM (
                SELECT SALES_DEALER_ID
                    , VIN
                    , case A.DEALER_ID when A.SALES_DEALER_ID then '01_OWN' else '02_OTH' end AS OWN_TYPE_CD
                    , CASE WHEN RO_CLOSE_CRT_CD = 'FMS'
                           THEN '01_FMS'
                           WHEN RO_CLOSE_CRT_CD = 'PSP'
                           THEN '02_PSP'
                           WHEN RO_CLOSE_CRT_CD = 'PO'
                           THEN '03_PO'
                           WHEN RO_CLOSE_CRT_CD = 'GR'
                           THEN '04_GR'
                           WHEN RO_CLOSE_CRT_CD = 'WT'
                           THEN '05_WT'
                           WHEN RO_CLOSE_CRT_CD = 'FMS_1K'
                           THEN '06_FMS_1K'
                           WHEN RO_CLOSE_CRT_CD = 'IT'
                           THEN '07_IT'
                           ELSE '09_BP'
                      END AS RO_CLOSE_CRT_CD
                FROM (    
                    SELECT DISTINCT C.DEALER_ID AS DEALER_ID
                        , case when D.DEALER_ID = 'SK00000'
                               then 'DT00000'
                               else D.DEALER_ID
                          end as  SALES_DEALER_ID
                        , A.VIN, A.RO_CLOSE_DT, E.RETAIL_SALES_DT, RO_CLOSE_CRT_CD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to_date('202201', 'YYYYMMDD') - interval '11 MONTH' AND to_date('202201',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to_date('202201', 'YYYYMMDD') - interval '95 MONTH'
                                        AND to_date('202201', 'YYYYMMDD') + INTERVAL '1 MONTH - 1 day'
                ) A
                WHERE 1=1
                AND A.SALES_DEALER_ID = 'DT00000'
            ) A
            WHERE 1=1
            GROUP BY A.SALES_DEALER_ID, A.VIN
    ) A
    where 1=1
    group by A.SALES_DEALER_ID
        , A.OWN_TYPE_CD
        , A.RO_CLOSE_CRT_CD
) a
where 1=1
and ro_close_crt_cd in ('FMS', 'FMS_1K')</t>
        </r>
      </text>
    </comment>
    <comment ref="P80" authorId="0" shapeId="0" xr:uid="{9E288AE9-BF06-4986-8082-041315AF399C}">
      <text>
        <r>
          <rPr>
            <b/>
            <sz val="9"/>
            <color indexed="81"/>
            <rFont val="Tahoma"/>
            <family val="2"/>
          </rPr>
          <t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to_date('202201', 'YYYYMMDD') - interval '95 MONTH'
                        AND to_date('202201', 'YYYYMMDD') + INTERVAL '1 MONTH - 1 day'
    group by b.dealer_id
), active_8crt as (
    select a.dealer_id
        , coalesce(SUM(A.OWN_8CNT),0) + coalesce(SUM(A.OTHER_8CNT),0)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to_date('202201', 'YYYYMMDD') - interval '11 MONTH' AND to_date('202201',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to_date('202201', 'YYYYMMDD') - interval '95 MONTH'
                                        AND to_date('202201', 'YYYYMMDD') + INTERVAL '1 MONTH - 1 day'
                    AND RETAIL_SALES_DT BETWEEN A.RO_CLOSE_DT - interval '95 MONTH'
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</t>
        </r>
      </text>
    </comment>
    <comment ref="M81" authorId="0" shapeId="0" xr:uid="{1AB16EF7-DD9E-4D77-8ED4-9D88CF6E4C0A}">
      <text>
        <r>
          <rPr>
            <b/>
            <sz val="9"/>
            <color indexed="81"/>
            <rFont val="Tahoma"/>
            <family val="2"/>
          </rPr>
          <t>WITH WITH_PARAM AS (
    SELECT '202301' AS YYYY_MM
        ,SUBSTR('202301', 1, 4)  AS YYYY
        ,'DT00000' AS dealer_id
    FROM DUAL
), WITH_PERIOD AS (
    SELECT TO_CHAR(ADD_MONTHS(TO_DATE(A.YYYY_MM,'YYYYMM'), -11),'YYYYMMDD')           AS SVC_START_DT
       , TO_CHAR(LAST_DAY(ADD_MONTHS(TO_DATE(A.YYYY_MM, 'YYYYMM'),0) ),'YYYYMMDD')  AS SVC_END_DT
       , TO_CHAR(ADD_MONTHS(TO_DATE(A.YYYY_MM,'YYYYMM'), -95),'YYYYMMDD')           AS DELIVERY_START_DT
       , TO_CHAR(LAST_DAY(ADD_MONTHS(TO_DATE(A.YYYY_MM, 'YYYYMM'),0) ),'YYYYMMDD')  AS DELIVERY_END_DT
       , TO_CHAR(ADD_MONTHS(TO_DATE(A.YYYY_MM, 'YYYYMM'), -95), 'YYYY')             AS START_YEAR
       , A.*
    FROM WITH_PARAM A)
, WITH_DEL_YEAR AS (
    SELECT TO_CHAR(START_YEAR+ (ROWNUM-1)) AS DELIVERY_YEAR
    FROM WITH_PERIOD
    CONNECT BY LEVEL &lt; (TO_NUMBER(YYYY)-START_YEAR)+2
), WITH_SHOP_CD AS(
    SELECT GROUP_ID DEALER_ID, GROUP_NAME DEALER_NM, DSPY_RANK AS DSPY_RANK
    FROM CO_HOLDINGS
    WHERE GROUP_TYPE = 'S'
    AND USE_YN = 'Y'
    AND GROUP_ID != 'SK00000'
    AND (GROUP_ID = 'DT00000' OR SUBSTR('DT00000',0,2) = 'TM')
)
SELECT SUM(CNT)
FROM (
    SELECT SALES_DEALER_ID,
        SUBSTR(OWN_CD, 5) AS OWN_CD,
        SUBSTR(NEW_RO_TYPE_CD, 5) AS NEW_RO_TYPE_CD,
        DELIVERY_YEAR,
        COUNT (VIN) AS CNT
    FROM (
        SELECT SALES_DEALER_ID,
            VIN,
            DELIVERY_YEAR,
            MIN(DECODE(SALES_DEALER_ID, SERVICE_DEALER_ID, '010.OWN', '020.OTH')) AS OWN_CD,
            MIN (NEW_RO_TYPE_CD) AS NEW_RO_TYPE_CD
        FROM (SELECT A.VIN,
                   A.DEALER_ID AS SALES_DEALER_ID,
                   A.SERVICE_DEALER_ID,
                   TO_CHAR (TO_DATE (A.DELIVERY_DT, 'YYYY-MM-DD'), 'YYYY') AS DELIVERY_YEAR,
                   CASE WHEN A.NEW_RO_TYPE_CD = 'F' AND A.RO_TYPE_CD_ORGN = 'F'
                        THEN '021.FMS'
                        WHEN A.NEW_RO_TYPE_CD = 'F' AND A.RO_TYPE_CD_ORGN = 'Y'
                        THEN '022.PSP'
                        WHEN A.NEW_RO_TYPE_CD = 'F' AND A.RO_TYPE_CD_ORGN NOT IN ('F', 'Y')
                        THEN '023.PM_Others'
                        WHEN A.NEW_RO_TYPE_CD IN ('G', 'I', 'Y', 'P')
                        THEN '024.GR'
                        WHEN A.NEW_RO_TYPE_CD = 'W'
                        THEN '030.Warranty'
                        WHEN A.NEW_RO_TYPE_CD = '1K'
                        THEN '040.1K'
                        WHEN A.NEW_RO_TYPE_CD = 'S'
                        THEN '050.Internal'
                        ELSE '999.Total'
                   END AS NEW_RO_TYPE_CD
              FROM (SELECT (SELECT CASE WHEN UP_GROUP_ID = 'SK00000'
                                        THEN 'DT00000'
                                        ELSE HOLDING_ID
                                   END
                            FROM CO_GROUP
                            WHERE GROUP_ID = A.SHOP_CD
                            ) AS SERVICE_DEALER_ID,
                          A.*
                      FROM (SELECT A.*,
                                   CASE WHEN B.LINEOFF_DT IS NULL THEN 'Y' 
                                        ELSE 'N'
                                   END AS GRAY_YN,
                                   (SELECT CASE WHEN B.SALES_DEALER_ID = 'SK00000' 
                                                THEN 'DT00000'
                                                ELSE HOLDING_ID
                                           END
                                    FROM CO_GROUP
                                    WHERE GROUP_ID =  B.SALES_DEALER_ID ) AS DEALER_ID, 
                                   B.DELIVERY_DT,
                                   RANK () OVER (PARTITION BY A.VIN ORDER BY A.PROPO_DT DESC) AS RK
                              FROM (  SELECT A.SHOP_CD,
                                             A.PROPO_DT,
                                             A.VIN,
                                             A.CLOSE_DT,
                                             A.NEW_RO_TYPE_CD,
                                             A.RO_TYPE_CD_ORGN
                                        FROM SVC_CLOSE_TRAFFIC_LEGACY A,
                                             WITH_PERIOD P,
                                             OM_CONTRACT B
                                       WHERE 1 = 1
                                             AND A.REPAIR_TYPE_CD = '1'
                                             AND A.CLOSE_DT BETWEEN P.SVC_START_DT
                                                                AND  P.SVC_END_DT
                                            AND A.VIN IN (SELECT VIN FROM OM_CONTRACT WHERE REPLACE(SUBSTR(LAST_RETAIL_SALES_DT,1,10),'-' ,'') 
                                                                     BETWEEN TO_CHAR(ADD_MONTHS(TO_DATE(A.CLOSE_YYYYMM||'01'),-95),'YYYYMMDD') 
                                                                     AND TO_CHAR (LAST_DAY (ADD_MONTHS (TO_DATE (A.CLOSE_YYYYMM, 'YYYYMM'), 0)),'YYYYMMDD'))     
                                             AND A.VIN = B.VIN
                                            AND B.CONTRACT_STAT_CD = 'D4'
                                            AND REPLACE ( SUBSTR ( LAST_RETAIL_SALES_DT, 1, 10), '-','') BETWEEN P.DELIVERY_START_DT AND P.DELIVERY_END_DT  
                                    GROUP BY A.SHOP_CD,
                                             A.PROPO_DT,
                                             A.VIN,
                                             A.CLOSE_DT,
                                             A.RO_TYPE_CD_ORGN,
                                             A.NEW_RO_TYPE_CD) A,
                                   CO_VEHIC B,
                                   VS_VARIANT V
                             WHERE 1 = 1
                               AND A.VIN = B.VIN
                               AND B.VARIANT_CD = V.VARIANT_CD(+)
                     ) A,
                         WITH_SHOP_CD S
                     WHERE     1 = 1
                     AND A.GRAY_YN = 'N'
                     AND A.DEALER_ID = S.DEALER_ID
                       --    and A.RK =1 
                           ) A)
          GROUP BY SALES_DEALER_ID, VIN, DELIVERY_YEAR)
    GROUP BY SALES_DEALER_ID,
        OWN_CD,
        NEW_RO_TYPE_CD,
        DELIVERY_YEAR
)
WHERE 1=1
AND NEW_RO_TYPE_CD = 'PSP'</t>
        </r>
      </text>
    </comment>
    <comment ref="N81" authorId="0" shapeId="0" xr:uid="{78C0E219-AAAC-45F8-AFEF-096400CB23B9}">
      <text>
        <r>
          <rPr>
            <b/>
            <sz val="9"/>
            <color indexed="81"/>
            <rFont val="Tahoma"/>
            <family val="2"/>
          </rPr>
          <t>SELECT  NVL(SUM(A.OWN_8CNT),0) + NVL(SUM(A.OTHER_8CNT),0) AS Active_Cust
FROM    (
        SELECT  A.SALES_HID
                , A.VIN
                , MAX(A.OWN_8CNT) OWN_8CNT
                , DECODE(MAX(A.OWN_8CNT),0,MAX(A.OTHER_8CNT),0) OTHER_8CNT
        FROM    (    
                SELECT  A.SALES_HID, A.VIN
                        , CASE WHEN A.SERVICE_HID=A.SALES_HID THEN 1 ELSE 0 END AS OWN_8CNT
                        , CASE WHEN A.SERVICE_HID!=A.SALES_HID THEN 1 ELSE 0 END AS OTHER_8CNT
                FROM    (    
                        SELECT  DISTINCT C.HOLDING_ID AS SERVICE_HID, DECODE(D.HOLDING_ID,'SK00000','DT00000',D.HOLDING_ID) AS SALES_HID, A.VIN, A.CLOSE_YYYYMM, E.LAST_RETAIL_SALES_DT
                        FROM    SVC_CLOSE_TRAFFIC_LEGACY A
                                , CO_VEHIC B
                                , CO_GROUP C
                                , CO_GROUP D
                                , OM_CONTRACT E
                        WHERE   A.REPAIR_TYPE_CD='1'
                        AND     A.CLOSE_DT BETWEEN TO_CHAR(ADD_MONTHS(TRUNC(TO_DATE('202301','YYYYMM'),'MONTH'),-11),'YYYYMMDD') AND TO_CHAR(LAST_DAY(TO_DATE('202301','YYYYMM')),'YYYYMMDD')
                        AND     A.VIN=B.VIN
                        AND     A.VIN=E.VIN
                        AND     A.SHOP_CD=C.GROUP_ID
                        AND     B.SALES_DEALER_ID=D.GROUP_ID
                        AND     B.LINEOFF_DT IS NOT NULL
                        AND     TO_CHAR(TO_DATE(LAST_RETAIL_SALES_DT, 'YYYY-MM-DD HH24:MI:SS'), 'YYYYMMDD') BETWEEN TO_CHAR(ADD_MONTHS(TO_DATE('202301' , 'YYYYMM'), -95), 'YYYYMMDD')
                        AND     LAST_DAY(TO_CHAR(ADD_MONTHS(TO_DATE('202301' , 'YYYYMM'), 0), 'YYYYMMDD'))
                        AND     TO_CHAR(TO_DATE(LAST_RETAIL_SALES_DT, 'YYYY-MM-DD HH24:MI:SS'), 'YYYYMMDD') BETWEEN TO_CHAR(ADD_MONTHS(TO_DATE('202301', 'YYYYMM'), -95), 'YYYYMMDD')
                        AND     LAST_DAY(TO_CHAR(ADD_MONTHS(TO_DATE(A.CLOSE_YYYYMM, 'YYYYMM'), 0), 'YYYYMMDD'))
                        ) A
                  WHERE     A.SALES_HID='DT00000'  
                ) A                
        GROUP BY A.SALES_HID, A.VIN
        ) A
WHERE   1=1</t>
        </r>
      </text>
    </comment>
    <comment ref="O81" authorId="0" shapeId="0" xr:uid="{786C761C-44AF-464B-9C4E-25B4C11A8766}">
      <text>
        <r>
          <rPr>
            <b/>
            <sz val="9"/>
            <color indexed="81"/>
            <rFont val="Tahoma"/>
            <family val="2"/>
          </rPr>
          <t>select sum(val)
from (
    select A.SALES_DEALER_ID
            , substring(OWN_TYPE_CD, 4) as own_type_cd 
            , substring(RO_CLOSE_CRT_CD, 4) as ro_close_crt_cd
            , COUNT(*) as VAL
    from (
            SELECT A.SALES_DEALER_ID, A.VIN
                , MIN(OWN_TYPE_CD) as OWN_TYPE_CD
                , MIN(RO_CLOSE_CRT_CD) as RO_CLOSE_CRT_CD
            FROM (
                SELECT SALES_DEALER_ID
                    , VIN
                    , case A.DEALER_ID when A.SALES_DEALER_ID then '01_OWN' else '02_OTH' end AS OWN_TYPE_CD
                    , CASE WHEN RO_CLOSE_CRT_CD = 'FMS'
                           THEN '01_FMS'
                           WHEN RO_CLOSE_CRT_CD = 'PSP'
                           THEN '02_PSP'
                           WHEN RO_CLOSE_CRT_CD = 'PO'
                           THEN '03_PO'
                           WHEN RO_CLOSE_CRT_CD = 'GR'
                           THEN '04_GR'
                           WHEN RO_CLOSE_CRT_CD = 'WT'
                           THEN '05_WT'
                           WHEN RO_CLOSE_CRT_CD = 'FMS_1K'
                           THEN '06_FMS_1K'
                           WHEN RO_CLOSE_CRT_CD = 'IT'
                           THEN '07_IT'
                           ELSE '09_BP'
                      END AS RO_CLOSE_CRT_CD
                FROM (    
                    SELECT DISTINCT C.DEALER_ID AS DEALER_ID
                        , case when D.DEALER_ID = 'SK00000'
                               then 'DT00000'
                               else D.DEALER_ID
                          end as  SALES_DEALER_ID
                        , A.VIN, A.RO_CLOSE_DT, E.RETAIL_SALES_DT, RO_CLOSE_CRT_CD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to_date('202301', 'YYYYMMDD') - interval '11 MONTH' AND to_date('202301',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to_date('202301', 'YYYYMMDD') - interval '95 MONTH'
                                        AND to_date('202301', 'YYYYMMDD') + INTERVAL '1 MONTH - 1 day'
                ) A
                WHERE 1=1
                AND A.SALES_DEALER_ID = 'DT00000'
            ) A
            WHERE 1=1
            GROUP BY A.SALES_DEALER_ID, A.VIN
    ) A
    where 1=1
    group by A.SALES_DEALER_ID
        , A.OWN_TYPE_CD
        , A.RO_CLOSE_CRT_CD
) a
where 1=1
and ro_close_crt_cd = 'FMS'</t>
        </r>
      </text>
    </comment>
    <comment ref="P81" authorId="0" shapeId="0" xr:uid="{C66FA982-18DE-4C09-95F0-A035456835F4}">
      <text>
        <r>
          <rPr>
            <b/>
            <sz val="9"/>
            <color indexed="81"/>
            <rFont val="Tahoma"/>
            <family val="2"/>
          </rPr>
          <t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to_date('202301', 'YYYYMMDD') - interval '95 MONTH'
                        AND to_date('202301', 'YYYYMMDD') + INTERVAL '1 MONTH - 1 day'
    group by b.dealer_id
), active_8crt as (
    select a.dealer_id
        , coalesce(SUM(A.OWN_8CNT),0) + coalesce(SUM(A.OTHER_8CNT),0)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to_date('202301', 'YYYYMMDD') - interval '11 MONTH' AND to_date('202301',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to_date('202301', 'YYYYMMDD') - interval '95 MONTH'
                                        AND to_date('202301', 'YYYYMMDD') + INTERVAL '1 MONTH - 1 day'
--                    AND RETAIL_SALES_DT BETWEEN A.RO_CLOSE_DT - interval '95 MONTH'
--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</t>
        </r>
      </text>
    </comment>
    <comment ref="M82" authorId="0" shapeId="0" xr:uid="{80B1F32E-30D0-408E-BDBE-CCFB177979A3}">
      <text>
        <r>
          <rPr>
            <b/>
            <sz val="9"/>
            <color indexed="81"/>
            <rFont val="Tahoma"/>
            <family val="2"/>
          </rPr>
          <t>WITH WITH_PARAM AS (
    SELECT '202201' AS YYYY_MM
        ,SUBSTR('202201', 1, 4)  AS YYYY
        ,'DT00000' AS dealer_id
    FROM DUAL
), WITH_PERIOD AS (
    SELECT TO_CHAR(ADD_MONTHS(TO_DATE(A.YYYY_MM,'YYYYMM'), -11),'YYYYMMDD')           AS SVC_START_DT
       , TO_CHAR(LAST_DAY(ADD_MONTHS(TO_DATE(A.YYYY_MM, 'YYYYMM'),0) ),'YYYYMMDD')  AS SVC_END_DT
       , TO_CHAR(ADD_MONTHS(TO_DATE(A.YYYY_MM,'YYYYMM'), -95),'YYYYMMDD')           AS DELIVERY_START_DT
       , TO_CHAR(LAST_DAY(ADD_MONTHS(TO_DATE(A.YYYY_MM, 'YYYYMM'),0) ),'YYYYMMDD')  AS DELIVERY_END_DT
       , TO_CHAR(ADD_MONTHS(TO_DATE(A.YYYY_MM, 'YYYYMM'), -95), 'YYYY')             AS START_YEAR
       , A.*
    FROM WITH_PARAM A)
, WITH_DEL_YEAR AS (
    SELECT TO_CHAR(START_YEAR+ (ROWNUM-1)) AS DELIVERY_YEAR
    FROM WITH_PERIOD
    CONNECT BY LEVEL &lt; (TO_NUMBER(YYYY)-START_YEAR)+2
), WITH_SHOP_CD AS(
    SELECT GROUP_ID DEALER_ID, GROUP_NAME DEALER_NM, DSPY_RANK AS DSPY_RANK
    FROM CO_HOLDINGS
    WHERE GROUP_TYPE = 'S'
    AND USE_YN = 'Y'
    AND GROUP_ID != 'SK00000'
    AND (GROUP_ID = 'DT00000' OR SUBSTR('DT00000',0,2) = 'TM')
)
SELECT SUM(CNT)
FROM (
    SELECT SALES_DEALER_ID,
        SUBSTR(OWN_CD, 5) AS OWN_CD,
        SUBSTR(NEW_RO_TYPE_CD, 5) AS NEW_RO_TYPE_CD,
        DELIVERY_YEAR,
        COUNT (VIN) AS CNT
    FROM (
        SELECT SALES_DEALER_ID,
            VIN,
            DELIVERY_YEAR,
            MIN(DECODE(SALES_DEALER_ID, SERVICE_DEALER_ID, '010.OWN', '020.OTH')) AS OWN_CD,
            MIN (NEW_RO_TYPE_CD) AS NEW_RO_TYPE_CD
        FROM (SELECT A.VIN,
                   A.DEALER_ID AS SALES_DEALER_ID,
                   A.SERVICE_DEALER_ID,
                   TO_CHAR (TO_DATE (A.DELIVERY_DT, 'YYYY-MM-DD'), 'YYYY') AS DELIVERY_YEAR,
                   CASE WHEN A.NEW_RO_TYPE_CD = 'F' AND A.RO_TYPE_CD_ORGN = 'F'
                        THEN '021.FMS'
                        WHEN A.NEW_RO_TYPE_CD = 'F' AND A.RO_TYPE_CD_ORGN = 'Y'
                        THEN '022.PSP'
                        WHEN A.NEW_RO_TYPE_CD = 'F' AND A.RO_TYPE_CD_ORGN NOT IN ('F', 'Y')
                        THEN '023.PM_Others'
                        WHEN A.NEW_RO_TYPE_CD IN ('G', 'I', 'Y', 'P')
                        THEN '024.GR'
                        WHEN A.NEW_RO_TYPE_CD = 'W'
                        THEN '030.Warranty'
                        WHEN A.NEW_RO_TYPE_CD = '1K'
                        THEN '040.1K'
                        WHEN A.NEW_RO_TYPE_CD = 'S'
                        THEN '050.Internal'
                        ELSE '999.Total'
                   END AS NEW_RO_TYPE_CD
              FROM (SELECT (SELECT CASE WHEN UP_GROUP_ID = 'SK00000'
                                        THEN 'DT00000'
                                        ELSE HOLDING_ID
                                   END
                            FROM CO_GROUP
                            WHERE GROUP_ID = A.SHOP_CD
                            ) AS SERVICE_DEALER_ID,
                          A.*
                      FROM (SELECT A.*,
                                   CASE WHEN B.LINEOFF_DT IS NULL THEN 'Y' 
                                        ELSE 'N'
                                   END AS GRAY_YN,
                                   (SELECT CASE WHEN B.SALES_DEALER_ID = 'SK00000' 
                                                THEN 'DT00000'
                                                ELSE HOLDING_ID
                                           END
                                    FROM CO_GROUP
                                    WHERE GROUP_ID =  B.SALES_DEALER_ID ) AS DEALER_ID, 
                                   B.DELIVERY_DT,
                                   RANK () OVER (PARTITION BY A.VIN ORDER BY A.PROPO_DT DESC) AS RK
                              FROM (  SELECT A.SHOP_CD,
                                             A.PROPO_DT,
                                             A.VIN,
                                             A.CLOSE_DT,
                                             A.NEW_RO_TYPE_CD,
                                             A.RO_TYPE_CD_ORGN
                                        FROM SVC_CLOSE_TRAFFIC_LEGACY A,
                                             WITH_PERIOD P,
                                             OM_CONTRACT B
                                       WHERE 1 = 1
                                             AND A.REPAIR_TYPE_CD = '1'
                                             AND A.CLOSE_DT BETWEEN P.SVC_START_DT
                                                                AND  P.SVC_END_DT
                                            AND A.VIN IN (SELECT VIN FROM OM_CONTRACT WHERE REPLACE(SUBSTR(LAST_RETAIL_SALES_DT,1,10),'-' ,'') 
                                                                     BETWEEN TO_CHAR(ADD_MONTHS(TO_DATE(A.CLOSE_YYYYMM||'01'),-95),'YYYYMMDD') 
                                                                     AND TO_CHAR (LAST_DAY (ADD_MONTHS (TO_DATE (A.CLOSE_YYYYMM, 'YYYYMM'), 0)),'YYYYMMDD'))     
                                             AND A.VIN = B.VIN
                                            AND B.CONTRACT_STAT_CD = 'D4'
                                            AND REPLACE ( SUBSTR ( LAST_RETAIL_SALES_DT, 1, 10), '-','') BETWEEN P.DELIVERY_START_DT AND P.DELIVERY_END_DT  
                                    GROUP BY A.SHOP_CD,
                                             A.PROPO_DT,
                                             A.VIN,
                                             A.CLOSE_DT,
                                             A.RO_TYPE_CD_ORGN,
                                             A.NEW_RO_TYPE_CD) A,
                                   CO_VEHIC B,
                                   VS_VARIANT V
                             WHERE 1 = 1
                               AND A.VIN = B.VIN
                               AND B.VARIANT_CD = V.VARIANT_CD(+)
                     ) A,
                         WITH_SHOP_CD S
                     WHERE     1 = 1
                     AND A.GRAY_YN = 'N'
                     AND A.DEALER_ID = S.DEALER_ID
                       --    and A.RK =1 
                           ) A)
          GROUP BY SALES_DEALER_ID, VIN, DELIVERY_YEAR)
    GROUP BY SALES_DEALER_ID,
        OWN_CD,
        NEW_RO_TYPE_CD,
        DELIVERY_YEAR
)
WHERE 1=1
AND NEW_RO_TYPE_CD = 'PSP'</t>
        </r>
      </text>
    </comment>
    <comment ref="N82" authorId="0" shapeId="0" xr:uid="{6CADF37D-5AA9-437C-A182-EF5AA7BE649E}">
      <text>
        <r>
          <rPr>
            <b/>
            <sz val="9"/>
            <color indexed="81"/>
            <rFont val="Tahoma"/>
            <family val="2"/>
          </rPr>
          <t>SELECT  NVL(SUM(A.OWN_8CNT),0) + NVL(SUM(A.OTHER_8CNT),0) AS Active_Cust
FROM    (
        SELECT  A.SALES_HID
                , A.VIN
                , MAX(A.OWN_8CNT) OWN_8CNT
                , DECODE(MAX(A.OWN_8CNT),0,MAX(A.OTHER_8CNT),0) OTHER_8CNT
        FROM    (    
                SELECT  A.SALES_HID, A.VIN
                        , CASE WHEN A.SERVICE_HID=A.SALES_HID THEN 1 ELSE 0 END AS OWN_8CNT
                        , CASE WHEN A.SERVICE_HID!=A.SALES_HID THEN 1 ELSE 0 END AS OTHER_8CNT
                FROM    (    
                        SELECT  DISTINCT C.HOLDING_ID AS SERVICE_HID, DECODE(D.HOLDING_ID,'SK00000','DT00000',D.HOLDING_ID) AS SALES_HID, A.VIN, A.CLOSE_YYYYMM, E.LAST_RETAIL_SALES_DT
                        FROM    SVC_CLOSE_TRAFFIC_LEGACY A
                                , CO_VEHIC B
                                , CO_GROUP C
                                , CO_GROUP D
                                , OM_CONTRACT E
                        WHERE   A.REPAIR_TYPE_CD='1'
                        AND     A.CLOSE_DT BETWEEN TO_CHAR(ADD_MONTHS(TRUNC(TO_DATE('202201','YYYYMM'),'MONTH'),-11),'YYYYMMDD') AND TO_CHAR(LAST_DAY(TO_DATE('202201','YYYYMM')),'YYYYMMDD')
                        AND     A.VIN=B.VIN
                        AND     A.VIN=E.VIN
                        AND     A.SHOP_CD=C.GROUP_ID
                        AND     B.SALES_DEALER_ID=D.GROUP_ID
                        AND     B.LINEOFF_DT IS NOT NULL
                        AND     TO_CHAR(TO_DATE(LAST_RETAIL_SALES_DT, 'YYYY-MM-DD HH24:MI:SS'), 'YYYYMMDD') BETWEEN TO_CHAR(ADD_MONTHS(TO_DATE('202201' , 'YYYYMM'), -95), 'YYYYMMDD')
                        AND     LAST_DAY(TO_CHAR(ADD_MONTHS(TO_DATE('202201' , 'YYYYMM'), 0), 'YYYYMMDD'))
                        AND     TO_CHAR(TO_DATE(LAST_RETAIL_SALES_DT, 'YYYY-MM-DD HH24:MI:SS'), 'YYYYMMDD') BETWEEN TO_CHAR(ADD_MONTHS(TO_DATE('202201', 'YYYYMM'), -95), 'YYYYMMDD')
                        AND     LAST_DAY(TO_CHAR(ADD_MONTHS(TO_DATE(A.CLOSE_YYYYMM, 'YYYYMM'), 0), 'YYYYMMDD'))
                        ) A
                  WHERE     A.SALES_HID='DT00000'  
                ) A                
        GROUP BY A.SALES_HID, A.VIN
        ) A
WHERE   1=1</t>
        </r>
      </text>
    </comment>
    <comment ref="O82" authorId="0" shapeId="0" xr:uid="{F95250BE-398F-42E7-81B8-C0C2034724C8}">
      <text>
        <r>
          <rPr>
            <b/>
            <sz val="9"/>
            <color indexed="81"/>
            <rFont val="Tahoma"/>
            <family val="2"/>
          </rPr>
          <t>select sum(val)
from (
    select A.SALES_DEALER_ID
            , substring(OWN_TYPE_CD, 4) as own_type_cd 
            , substring(RO_CLOSE_CRT_CD, 4) as ro_close_crt_cd
            , COUNT(*) as VAL
    from (
            SELECT A.SALES_DEALER_ID, A.VIN
                , MIN(OWN_TYPE_CD) as OWN_TYPE_CD
                , MIN(RO_CLOSE_CRT_CD) as RO_CLOSE_CRT_CD
            FROM (
                SELECT SALES_DEALER_ID
                    , VIN
                    , case A.DEALER_ID when A.SALES_DEALER_ID then '01_OWN' else '02_OTH' end AS OWN_TYPE_CD
                    , CASE WHEN RO_CLOSE_CRT_CD = 'FMS'
                           THEN '01_FMS'
                           WHEN RO_CLOSE_CRT_CD = 'PSP'
                           THEN '02_PSP'
                           WHEN RO_CLOSE_CRT_CD = 'PO'
                           THEN '03_PO'
                           WHEN RO_CLOSE_CRT_CD = 'GR'
                           THEN '04_GR'
                           WHEN RO_CLOSE_CRT_CD = 'WT'
                           THEN '05_WT'
                           WHEN RO_CLOSE_CRT_CD = 'FMS_1K'
                           THEN '06_FMS_1K'
                           WHEN RO_CLOSE_CRT_CD = 'IT'
                           THEN '07_IT'
                           ELSE '09_BP'
                      END AS RO_CLOSE_CRT_CD
                FROM (    
                    SELECT DISTINCT C.DEALER_ID AS DEALER_ID
                        , case when D.DEALER_ID = 'SK00000'
                               then 'DT00000'
                               else D.DEALER_ID
                          end as  SALES_DEALER_ID
                        , A.VIN, A.RO_CLOSE_DT, E.RETAIL_SALES_DT, RO_CLOSE_CRT_CD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to_date('202201', 'YYYYMMDD') - interval '11 MONTH' AND to_date('202201',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to_date('202201', 'YYYYMMDD') - interval '95 MONTH'
                                        AND to_date('202201', 'YYYYMMDD') + INTERVAL '1 MONTH - 1 day'
                ) A
                WHERE 1=1
                AND A.SALES_DEALER_ID = 'DT00000'
            ) A
            WHERE 1=1
            GROUP BY A.SALES_DEALER_ID, A.VIN
    ) A
    where 1=1
    group by A.SALES_DEALER_ID
        , A.OWN_TYPE_CD
        , A.RO_CLOSE_CRT_CD
) a
where 1=1
and ro_close_crt_cd = 'PSP'</t>
        </r>
      </text>
    </comment>
    <comment ref="P82" authorId="0" shapeId="0" xr:uid="{2828DDE5-2548-4882-914B-E970EDF59939}">
      <text>
        <r>
          <rPr>
            <b/>
            <sz val="9"/>
            <color indexed="81"/>
            <rFont val="Tahoma"/>
            <family val="2"/>
          </rPr>
          <t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to_date('202201', 'YYYYMMDD') - interval '95 MONTH'
                        AND to_date('202201', 'YYYYMMDD') + INTERVAL '1 MONTH - 1 day'
    group by b.dealer_id
), active_8crt as (
    select a.dealer_id
        , coalesce(SUM(A.OWN_8CNT),0) + coalesce(SUM(A.OTHER_8CNT),0)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to_date('202201', 'YYYYMMDD') - interval '11 MONTH' AND to_date('202201',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to_date('202201', 'YYYYMMDD') - interval '95 MONTH'
                                        AND to_date('202201', 'YYYYMMDD') + INTERVAL '1 MONTH - 1 day'
                    AND RETAIL_SALES_DT BETWEEN A.RO_CLOSE_DT - interval '95 MONTH'
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</t>
        </r>
      </text>
    </comment>
    <comment ref="M83" authorId="0" shapeId="0" xr:uid="{42975BC2-66BD-4732-AF70-E16C62B53F1A}">
      <text>
        <r>
          <rPr>
            <b/>
            <sz val="9"/>
            <color indexed="81"/>
            <rFont val="Tahoma"/>
            <family val="2"/>
          </rPr>
          <t>WITH WITH_PARAM AS (
    SELECT '202301' AS YYYY_MM
        ,SUBSTR('202301', 1, 4)  AS YYYY
        ,'DT00000' AS dealer_id
    FROM DUAL
), WITH_PERIOD AS (
    SELECT TO_CHAR(ADD_MONTHS(TO_DATE(A.YYYY_MM,'YYYYMM'), -11),'YYYYMMDD')           AS SVC_START_DT
       , TO_CHAR(LAST_DAY(ADD_MONTHS(TO_DATE(A.YYYY_MM, 'YYYYMM'),0) ),'YYYYMMDD')  AS SVC_END_DT
       , TO_CHAR(ADD_MONTHS(TO_DATE(A.YYYY_MM,'YYYYMM'), -95),'YYYYMMDD')           AS DELIVERY_START_DT
       , TO_CHAR(LAST_DAY(ADD_MONTHS(TO_DATE(A.YYYY_MM, 'YYYYMM'),0) ),'YYYYMMDD')  AS DELIVERY_END_DT
       , TO_CHAR(ADD_MONTHS(TO_DATE(A.YYYY_MM, 'YYYYMM'), -95), 'YYYY')             AS START_YEAR
       , A.*
    FROM WITH_PARAM A)
, WITH_DEL_YEAR AS (
    SELECT TO_CHAR(START_YEAR+ (ROWNUM-1)) AS DELIVERY_YEAR
    FROM WITH_PERIOD
    CONNECT BY LEVEL &lt; (TO_NUMBER(YYYY)-START_YEAR)+2
), WITH_SHOP_CD AS(
    SELECT GROUP_ID DEALER_ID, GROUP_NAME DEALER_NM, DSPY_RANK AS DSPY_RANK
    FROM CO_HOLDINGS
    WHERE GROUP_TYPE = 'S'
    AND USE_YN = 'Y'
    AND GROUP_ID != 'SK00000'
    AND (GROUP_ID = 'DT00000' OR SUBSTR('DT00000',0,2) = 'TM')
)
SELECT SUM(CNT)
FROM (
    SELECT SALES_DEALER_ID,
        SUBSTR(OWN_CD, 5) AS OWN_CD,
        SUBSTR(NEW_RO_TYPE_CD, 5) AS NEW_RO_TYPE_CD,
        DELIVERY_YEAR,
        COUNT (VIN) AS CNT
    FROM (
        SELECT SALES_DEALER_ID,
            VIN,
            DELIVERY_YEAR,
            MIN(DECODE(SALES_DEALER_ID, SERVICE_DEALER_ID, '010.OWN', '020.OTH')) AS OWN_CD,
            MIN (NEW_RO_TYPE_CD) AS NEW_RO_TYPE_CD
        FROM (SELECT A.VIN,
                   A.DEALER_ID AS SALES_DEALER_ID,
                   A.SERVICE_DEALER_ID,
                   TO_CHAR (TO_DATE (A.DELIVERY_DT, 'YYYY-MM-DD'), 'YYYY') AS DELIVERY_YEAR,
                   CASE WHEN A.NEW_RO_TYPE_CD = 'F' AND A.RO_TYPE_CD_ORGN = 'F'
                        THEN '021.FMS'
                        WHEN A.NEW_RO_TYPE_CD = 'F' AND A.RO_TYPE_CD_ORGN = 'Y'
                        THEN '022.PSP'
                        WHEN A.NEW_RO_TYPE_CD = 'F' AND A.RO_TYPE_CD_ORGN NOT IN ('F', 'Y')
                        THEN '023.PM_Others'
                        WHEN A.NEW_RO_TYPE_CD IN ('G', 'I', 'Y', 'P')
                        THEN '024.GR'
                        WHEN A.NEW_RO_TYPE_CD = 'W'
                        THEN '030.Warranty'
                        WHEN A.NEW_RO_TYPE_CD = '1K'
                        THEN '040.1K'
                        WHEN A.NEW_RO_TYPE_CD = 'S'
                        THEN '050.Internal'
                        ELSE '999.Total'
                   END AS NEW_RO_TYPE_CD
              FROM (SELECT (SELECT CASE WHEN UP_GROUP_ID = 'SK00000'
                                        THEN 'DT00000'
                                        ELSE HOLDING_ID
                                   END
                            FROM CO_GROUP
                            WHERE GROUP_ID = A.SHOP_CD
                            ) AS SERVICE_DEALER_ID,
                          A.*
                      FROM (SELECT A.*,
                                   CASE WHEN B.LINEOFF_DT IS NULL THEN 'Y' 
                                        ELSE 'N'
                                   END AS GRAY_YN,
                                   (SELECT CASE WHEN B.SALES_DEALER_ID = 'SK00000' 
                                                THEN 'DT00000'
                                                ELSE HOLDING_ID
                                           END
                                    FROM CO_GROUP
                                    WHERE GROUP_ID =  B.SALES_DEALER_ID ) AS DEALER_ID, 
                                   B.DELIVERY_DT,
                                   RANK () OVER (PARTITION BY A.VIN ORDER BY A.PROPO_DT DESC) AS RK
                              FROM (  SELECT A.SHOP_CD,
                                             A.PROPO_DT,
                                             A.VIN,
                                             A.CLOSE_DT,
                                             A.NEW_RO_TYPE_CD,
                                             A.RO_TYPE_CD_ORGN
                                        FROM SVC_CLOSE_TRAFFIC_LEGACY A,
                                             WITH_PERIOD P,
                                             OM_CONTRACT B
                                       WHERE 1 = 1
                                             AND A.REPAIR_TYPE_CD = '1'
                                             AND A.CLOSE_DT BETWEEN P.SVC_START_DT
                                                                AND  P.SVC_END_DT
                                            AND A.VIN IN (SELECT VIN FROM OM_CONTRACT WHERE REPLACE(SUBSTR(LAST_RETAIL_SALES_DT,1,10),'-' ,'') 
                                                                     BETWEEN TO_CHAR(ADD_MONTHS(TO_DATE(A.CLOSE_YYYYMM||'01'),-95),'YYYYMMDD') 
                                                                     AND TO_CHAR (LAST_DAY (ADD_MONTHS (TO_DATE (A.CLOSE_YYYYMM, 'YYYYMM'), 0)),'YYYYMMDD'))     
                                             AND A.VIN = B.VIN
                                            AND B.CONTRACT_STAT_CD = 'D4'
                                            AND REPLACE ( SUBSTR ( LAST_RETAIL_SALES_DT, 1, 10), '-','') BETWEEN P.DELIVERY_START_DT AND P.DELIVERY_END_DT  
                                    GROUP BY A.SHOP_CD,
                                             A.PROPO_DT,
                                             A.VIN,
                                             A.CLOSE_DT,
                                             A.RO_TYPE_CD_ORGN,
                                             A.NEW_RO_TYPE_CD) A,
                                   CO_VEHIC B,
                                   VS_VARIANT V
                             WHERE 1 = 1
                               AND A.VIN = B.VIN
                               AND B.VARIANT_CD = V.VARIANT_CD(+)
                     ) A,
                         WITH_SHOP_CD S
                     WHERE     1 = 1
                     AND A.GRAY_YN = 'N'
                     AND A.DEALER_ID = S.DEALER_ID
                       --    and A.RK =1 
                           ) A)
          GROUP BY SALES_DEALER_ID, VIN, DELIVERY_YEAR)
    GROUP BY SALES_DEALER_ID,
        OWN_CD,
        NEW_RO_TYPE_CD,
        DELIVERY_YEAR
)
WHERE 1=1
AND NEW_RO_TYPE_CD IN ('GR', 'PM_Others')</t>
        </r>
      </text>
    </comment>
    <comment ref="N83" authorId="0" shapeId="0" xr:uid="{DEDC9DB9-5EE5-48B8-81B5-681E8B91242A}">
      <text>
        <r>
          <rPr>
            <b/>
            <sz val="9"/>
            <color indexed="81"/>
            <rFont val="Tahoma"/>
            <family val="2"/>
          </rPr>
          <t>SELECT  NVL(SUM(A.OWN_8CNT),0) + NVL(SUM(A.OTHER_8CNT),0) AS Active_Cust
FROM    (
        SELECT  A.SALES_HID
                , A.VIN
                , MAX(A.OWN_8CNT) OWN_8CNT
                , DECODE(MAX(A.OWN_8CNT),0,MAX(A.OTHER_8CNT),0) OTHER_8CNT
        FROM    (    
                SELECT  A.SALES_HID, A.VIN
                        , CASE WHEN A.SERVICE_HID=A.SALES_HID THEN 1 ELSE 0 END AS OWN_8CNT
                        , CASE WHEN A.SERVICE_HID!=A.SALES_HID THEN 1 ELSE 0 END AS OTHER_8CNT
                FROM    (    
                        SELECT  DISTINCT C.HOLDING_ID AS SERVICE_HID, DECODE(D.HOLDING_ID,'SK00000','DT00000',D.HOLDING_ID) AS SALES_HID, A.VIN, A.CLOSE_YYYYMM, E.LAST_RETAIL_SALES_DT
                        FROM    SVC_CLOSE_TRAFFIC_LEGACY A
                                , CO_VEHIC B
                                , CO_GROUP C
                                , CO_GROUP D
                                , OM_CONTRACT E
                        WHERE   A.REPAIR_TYPE_CD='1'
                        AND     A.CLOSE_DT BETWEEN TO_CHAR(ADD_MONTHS(TRUNC(TO_DATE('202301','YYYYMM'),'MONTH'),-11),'YYYYMMDD') AND TO_CHAR(LAST_DAY(TO_DATE('202301','YYYYMM')),'YYYYMMDD')
                        AND     A.VIN=B.VIN
                        AND     A.VIN=E.VIN
                        AND     A.SHOP_CD=C.GROUP_ID
                        AND     B.SALES_DEALER_ID=D.GROUP_ID
                        AND     B.LINEOFF_DT IS NOT NULL
                        AND     TO_CHAR(TO_DATE(LAST_RETAIL_SALES_DT, 'YYYY-MM-DD HH24:MI:SS'), 'YYYYMMDD') BETWEEN TO_CHAR(ADD_MONTHS(TO_DATE('202301' , 'YYYYMM'), -95), 'YYYYMMDD')
                        AND     LAST_DAY(TO_CHAR(ADD_MONTHS(TO_DATE('202301' , 'YYYYMM'), 0), 'YYYYMMDD'))
                        AND     TO_CHAR(TO_DATE(LAST_RETAIL_SALES_DT, 'YYYY-MM-DD HH24:MI:SS'), 'YYYYMMDD') BETWEEN TO_CHAR(ADD_MONTHS(TO_DATE('202301', 'YYYYMM'), -95), 'YYYYMMDD')
                        AND     LAST_DAY(TO_CHAR(ADD_MONTHS(TO_DATE(A.CLOSE_YYYYMM, 'YYYYMM'), 0), 'YYYYMMDD'))
                        ) A
                  WHERE     A.SALES_HID='DT00000'  
                ) A                
        GROUP BY A.SALES_HID, A.VIN
        ) A
WHERE   1=1</t>
        </r>
      </text>
    </comment>
    <comment ref="O83" authorId="0" shapeId="0" xr:uid="{EA074FD4-5DD3-4BC0-BA21-0773223E9DDD}">
      <text>
        <r>
          <rPr>
            <b/>
            <sz val="9"/>
            <color indexed="81"/>
            <rFont val="Tahoma"/>
            <family val="2"/>
          </rPr>
          <t>select sum(val)
from (
    select A.SALES_DEALER_ID
            , substring(OWN_TYPE_CD, 4) as own_type_cd 
            , substring(RO_CLOSE_CRT_CD, 4) as ro_close_crt_cd
            , COUNT(*) as VAL
    from (
            SELECT A.SALES_DEALER_ID, A.VIN
                , MIN(OWN_TYPE_CD) as OWN_TYPE_CD
                , MIN(RO_CLOSE_CRT_CD) as RO_CLOSE_CRT_CD
            FROM (
                SELECT SALES_DEALER_ID
                    , VIN
                    , case A.DEALER_ID when A.SALES_DEALER_ID then '01_OWN' else '02_OTH' end AS OWN_TYPE_CD
                    , CASE WHEN RO_CLOSE_CRT_CD = 'FMS'
                           THEN '01_FMS'
                           WHEN RO_CLOSE_CRT_CD = 'PSP'
                           THEN '02_PSP'
                           WHEN RO_CLOSE_CRT_CD = 'PO'
                           THEN '03_PO'
                           WHEN RO_CLOSE_CRT_CD = 'GR'
                           THEN '04_GR'
                           WHEN RO_CLOSE_CRT_CD = 'WT'
                           THEN '05_WT'
                           WHEN RO_CLOSE_CRT_CD = 'FMS_1K'
                           THEN '06_FMS_1K'
                           WHEN RO_CLOSE_CRT_CD = 'IT'
                           THEN '07_IT'
                           ELSE '09_BP'
                      END AS RO_CLOSE_CRT_CD
                FROM (    
                    SELECT DISTINCT C.DEALER_ID AS DEALER_ID
                        , case when D.DEALER_ID = 'SK00000'
                               then 'DT00000'
                               else D.DEALER_ID
                          end as  SALES_DEALER_ID
                        , A.VIN, A.RO_CLOSE_DT, E.RETAIL_SALES_DT, RO_CLOSE_CRT_CD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to_date('202301', 'YYYYMMDD') - interval '11 MONTH' AND to_date('202301',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to_date('202301', 'YYYYMMDD') - interval '95 MONTH'
                                        AND to_date('202301', 'YYYYMMDD') + INTERVAL '1 MONTH - 1 day'
--                    AND RETAIL_SALES_DT BETWEEN A.RO_CLOSE_DT - interval '95 MONTH'
--                                        AND A.RO_CLOSE_DT + INTERVAL '1 MONTH - 1 day'
                ) A
                WHERE 1=1
                AND A.SALES_DEALER_ID = 'DT00000'
            ) A
            WHERE 1=1
            GROUP BY A.SALES_DEALER_ID, A.VIN
    ) A
    where 1=1
    group by A.SALES_DEALER_ID
        , A.OWN_TYPE_CD
        , A.RO_CLOSE_CRT_CD
) a
where 1=1
and ro_close_crt_cd in ('GR', 'PO')</t>
        </r>
      </text>
    </comment>
    <comment ref="P83" authorId="0" shapeId="0" xr:uid="{C288A106-CDF9-4EAB-B190-0412AE530337}">
      <text>
        <r>
          <rPr>
            <b/>
            <sz val="9"/>
            <color indexed="81"/>
            <rFont val="Tahoma"/>
            <family val="2"/>
          </rPr>
          <t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to_date('202301', 'YYYYMMDD') - interval '95 MONTH'
                        AND to_date('202301', 'YYYYMMDD') + INTERVAL '1 MONTH - 1 day'
    group by b.dealer_id
), active_8crt as (
    select a.dealer_id
        , coalesce(SUM(A.OWN_8CNT),0) + coalesce(SUM(A.OTHER_8CNT),0)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to_date('202301', 'YYYYMMDD') - interval '11 MONTH' AND to_date('202301',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to_date('202301', 'YYYYMMDD') - interval '95 MONTH'
                                        AND to_date('202301', 'YYYYMMDD') + INTERVAL '1 MONTH - 1 day'
--                    AND RETAIL_SALES_DT BETWEEN A.RO_CLOSE_DT - interval '95 MONTH'
--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</t>
        </r>
      </text>
    </comment>
    <comment ref="M84" authorId="0" shapeId="0" xr:uid="{9EF3C2F8-DB56-48CE-9E2F-668A41A83A21}">
      <text>
        <r>
          <rPr>
            <b/>
            <sz val="9"/>
            <color indexed="81"/>
            <rFont val="Tahoma"/>
            <family val="2"/>
          </rPr>
          <t>WITH WITH_PARAM AS (
    SELECT '202201' AS YYYY_MM
        ,SUBSTR('202201', 1, 4)  AS YYYY
        ,'DT00000' AS dealer_id
    FROM DUAL
), WITH_PERIOD AS (
    SELECT TO_CHAR(ADD_MONTHS(TO_DATE(A.YYYY_MM,'YYYYMM'), -11),'YYYYMMDD')           AS SVC_START_DT
       , TO_CHAR(LAST_DAY(ADD_MONTHS(TO_DATE(A.YYYY_MM, 'YYYYMM'),0) ),'YYYYMMDD')  AS SVC_END_DT
       , TO_CHAR(ADD_MONTHS(TO_DATE(A.YYYY_MM,'YYYYMM'), -95),'YYYYMMDD')           AS DELIVERY_START_DT
       , TO_CHAR(LAST_DAY(ADD_MONTHS(TO_DATE(A.YYYY_MM, 'YYYYMM'),0) ),'YYYYMMDD')  AS DELIVERY_END_DT
       , TO_CHAR(ADD_MONTHS(TO_DATE(A.YYYY_MM, 'YYYYMM'), -95), 'YYYY')             AS START_YEAR
       , A.*
    FROM WITH_PARAM A)
, WITH_DEL_YEAR AS (
    SELECT TO_CHAR(START_YEAR+ (ROWNUM-1)) AS DELIVERY_YEAR
    FROM WITH_PERIOD
    CONNECT BY LEVEL &lt; (TO_NUMBER(YYYY)-START_YEAR)+2
), WITH_SHOP_CD AS(
    SELECT GROUP_ID DEALER_ID, GROUP_NAME DEALER_NM, DSPY_RANK AS DSPY_RANK
    FROM CO_HOLDINGS
    WHERE GROUP_TYPE = 'S'
    AND USE_YN = 'Y'
    AND GROUP_ID != 'SK00000'
    AND (GROUP_ID = 'DT00000' OR SUBSTR('DT00000',0,2) = 'TM')
)
SELECT SUM(CNT)
FROM (
    SELECT SALES_DEALER_ID,
        SUBSTR(OWN_CD, 5) AS OWN_CD,
        SUBSTR(NEW_RO_TYPE_CD, 5) AS NEW_RO_TYPE_CD,
        DELIVERY_YEAR,
        COUNT (VIN) AS CNT
    FROM (
        SELECT SALES_DEALER_ID,
            VIN,
            DELIVERY_YEAR,
            MIN(DECODE(SALES_DEALER_ID, SERVICE_DEALER_ID, '010.OWN', '020.OTH')) AS OWN_CD,
            MIN (NEW_RO_TYPE_CD) AS NEW_RO_TYPE_CD
        FROM (SELECT A.VIN,
                   A.DEALER_ID AS SALES_DEALER_ID,
                   A.SERVICE_DEALER_ID,
                   TO_CHAR (TO_DATE (A.DELIVERY_DT, 'YYYY-MM-DD'), 'YYYY') AS DELIVERY_YEAR,
                   CASE WHEN A.NEW_RO_TYPE_CD = 'F' AND A.RO_TYPE_CD_ORGN = 'F'
                        THEN '021.FMS'
                        WHEN A.NEW_RO_TYPE_CD = 'F' AND A.RO_TYPE_CD_ORGN = 'Y'
                        THEN '022.PSP'
                        WHEN A.NEW_RO_TYPE_CD = 'F' AND A.RO_TYPE_CD_ORGN NOT IN ('F', 'Y')
                        THEN '023.PM_Others'
                        WHEN A.NEW_RO_TYPE_CD IN ('G', 'I', 'Y', 'P')
                        THEN '024.GR'
                        WHEN A.NEW_RO_TYPE_CD = 'W'
                        THEN '030.Warranty'
                        WHEN A.NEW_RO_TYPE_CD = '1K'
                        THEN '040.1K'
                        WHEN A.NEW_RO_TYPE_CD = 'S'
                        THEN '050.Internal'
                        ELSE '999.Total'
                   END AS NEW_RO_TYPE_CD
              FROM (SELECT (SELECT CASE WHEN UP_GROUP_ID = 'SK00000'
                                        THEN 'DT00000'
                                        ELSE HOLDING_ID
                                   END
                            FROM CO_GROUP
                            WHERE GROUP_ID = A.SHOP_CD
                            ) AS SERVICE_DEALER_ID,
                          A.*
                      FROM (SELECT A.*,
                                   CASE WHEN B.LINEOFF_DT IS NULL THEN 'Y' 
                                        ELSE 'N'
                                   END AS GRAY_YN,
                                   (SELECT CASE WHEN B.SALES_DEALER_ID = 'SK00000' 
                                                THEN 'DT00000'
                                                ELSE HOLDING_ID
                                           END
                                    FROM CO_GROUP
                                    WHERE GROUP_ID =  B.SALES_DEALER_ID ) AS DEALER_ID, 
                                   B.DELIVERY_DT,
                                   RANK () OVER (PARTITION BY A.VIN ORDER BY A.PROPO_DT DESC) AS RK
                              FROM (  SELECT A.SHOP_CD,
                                             A.PROPO_DT,
                                             A.VIN,
                                             A.CLOSE_DT,
                                             A.NEW_RO_TYPE_CD,
                                             A.RO_TYPE_CD_ORGN
                                        FROM SVC_CLOSE_TRAFFIC_LEGACY A,
                                             WITH_PERIOD P,
                                             OM_CONTRACT B
                                       WHERE 1 = 1
                                             AND A.REPAIR_TYPE_CD = '1'
                                             AND A.CLOSE_DT BETWEEN P.SVC_START_DT
                                                                AND  P.SVC_END_DT
                                            AND A.VIN IN (SELECT VIN FROM OM_CONTRACT WHERE REPLACE(SUBSTR(LAST_RETAIL_SALES_DT,1,10),'-' ,'') 
                                                                     BETWEEN TO_CHAR(ADD_MONTHS(TO_DATE(A.CLOSE_YYYYMM||'01'),-95),'YYYYMMDD') 
                                                                     AND TO_CHAR (LAST_DAY (ADD_MONTHS (TO_DATE (A.CLOSE_YYYYMM, 'YYYYMM'), 0)),'YYYYMMDD'))     
                                             AND A.VIN = B.VIN
                                            AND B.CONTRACT_STAT_CD = 'D4'
                                            AND REPLACE ( SUBSTR ( LAST_RETAIL_SALES_DT, 1, 10), '-','') BETWEEN P.DELIVERY_START_DT AND P.DELIVERY_END_DT  
                                    GROUP BY A.SHOP_CD,
                                             A.PROPO_DT,
                                             A.VIN,
                                             A.CLOSE_DT,
                                             A.RO_TYPE_CD_ORGN,
                                             A.NEW_RO_TYPE_CD) A,
                                   CO_VEHIC B,
                                   VS_VARIANT V
                             WHERE 1 = 1
                               AND A.VIN = B.VIN
                               AND B.VARIANT_CD = V.VARIANT_CD(+)
                     ) A,
                         WITH_SHOP_CD S
                     WHERE     1 = 1
                     AND A.GRAY_YN = 'N'
                     AND A.DEALER_ID = S.DEALER_ID
                       --    and A.RK =1 
                           ) A)
          GROUP BY SALES_DEALER_ID, VIN, DELIVERY_YEAR)
    GROUP BY SALES_DEALER_ID,
        OWN_CD,
        NEW_RO_TYPE_CD,
        DELIVERY_YEAR
)
WHERE 1=1
AND NEW_RO_TYPE_CD IN ('GR', 'PM_Others')</t>
        </r>
      </text>
    </comment>
    <comment ref="N84" authorId="0" shapeId="0" xr:uid="{6DD002A4-E881-4AD2-9E8E-49AD4E485726}">
      <text>
        <r>
          <rPr>
            <b/>
            <sz val="9"/>
            <color indexed="81"/>
            <rFont val="Tahoma"/>
            <family val="2"/>
          </rPr>
          <t>SELECT  NVL(SUM(A.OWN_8CNT),0) + NVL(SUM(A.OTHER_8CNT),0) AS Active_Cust
FROM    (
        SELECT  A.SALES_HID
                , A.VIN
                , MAX(A.OWN_8CNT) OWN_8CNT
                , DECODE(MAX(A.OWN_8CNT),0,MAX(A.OTHER_8CNT),0) OTHER_8CNT
        FROM    (    
                SELECT  A.SALES_HID, A.VIN
                        , CASE WHEN A.SERVICE_HID=A.SALES_HID THEN 1 ELSE 0 END AS OWN_8CNT
                        , CASE WHEN A.SERVICE_HID!=A.SALES_HID THEN 1 ELSE 0 END AS OTHER_8CNT
                FROM    (    
                        SELECT  DISTINCT C.HOLDING_ID AS SERVICE_HID, DECODE(D.HOLDING_ID,'SK00000','DT00000',D.HOLDING_ID) AS SALES_HID, A.VIN, A.CLOSE_YYYYMM, E.LAST_RETAIL_SALES_DT
                        FROM    SVC_CLOSE_TRAFFIC_LEGACY A
                                , CO_VEHIC B
                                , CO_GROUP C
                                , CO_GROUP D
                                , OM_CONTRACT E
                        WHERE   A.REPAIR_TYPE_CD='1'
                        AND     A.CLOSE_DT BETWEEN TO_CHAR(ADD_MONTHS(TRUNC(TO_DATE('202201','YYYYMM'),'MONTH'),-11),'YYYYMMDD') AND TO_CHAR(LAST_DAY(TO_DATE('202201','YYYYMM')),'YYYYMMDD')
                        AND     A.VIN=B.VIN
                        AND     A.VIN=E.VIN
                        AND     A.SHOP_CD=C.GROUP_ID
                        AND     B.SALES_DEALER_ID=D.GROUP_ID
                        AND     B.LINEOFF_DT IS NOT NULL
                        AND     TO_CHAR(TO_DATE(LAST_RETAIL_SALES_DT, 'YYYY-MM-DD HH24:MI:SS'), 'YYYYMMDD') BETWEEN TO_CHAR(ADD_MONTHS(TO_DATE('202201' , 'YYYYMM'), -95), 'YYYYMMDD')
                        AND     LAST_DAY(TO_CHAR(ADD_MONTHS(TO_DATE('202201' , 'YYYYMM'), 0), 'YYYYMMDD'))
                        AND     TO_CHAR(TO_DATE(LAST_RETAIL_SALES_DT, 'YYYY-MM-DD HH24:MI:SS'), 'YYYYMMDD') BETWEEN TO_CHAR(ADD_MONTHS(TO_DATE('202201', 'YYYYMM'), -95), 'YYYYMMDD')
                        AND     LAST_DAY(TO_CHAR(ADD_MONTHS(TO_DATE(A.CLOSE_YYYYMM, 'YYYYMM'), 0), 'YYYYMMDD'))
                        ) A
                  WHERE     A.SALES_HID='DT00000'  
                ) A                
        GROUP BY A.SALES_HID, A.VIN
        ) A
WHERE   1=1</t>
        </r>
      </text>
    </comment>
    <comment ref="O84" authorId="0" shapeId="0" xr:uid="{917E984E-3216-4528-8AEE-1EC097E5A2B3}">
      <text>
        <r>
          <rPr>
            <b/>
            <sz val="9"/>
            <color indexed="81"/>
            <rFont val="Tahoma"/>
            <family val="2"/>
          </rPr>
          <t>select *
from dms_svc_act8_cust_v
where 1=1
and dealer_id = 'DT00000'
and yyyymm = '202301'
select sum(val)
from (
    select A.SALES_DEALER_ID
            , substring(OWN_TYPE_CD, 4) as own_type_cd 
            , substring(RO_CLOSE_CRT_CD, 4) as ro_close_crt_cd
            , COUNT(*) as VAL
    from (
            SELECT A.SALES_DEALER_ID, A.VIN
                , MIN(OWN_TYPE_CD) as OWN_TYPE_CD
                , MIN(RO_CLOSE_CRT_CD) as RO_CLOSE_CRT_CD
            FROM (
                SELECT SALES_DEALER_ID
                    , VIN
                    , case A.DEALER_ID when A.SALES_DEALER_ID then '01_OWN' else '02_OTH' end AS OWN_TYPE_CD
                    , CASE WHEN RO_CLOSE_CRT_CD = 'FMS'
                           THEN '01_FMS'
                           WHEN RO_CLOSE_CRT_CD = 'PSP'
                           THEN '02_PSP'
                           WHEN RO_CLOSE_CRT_CD = 'PO'
                           THEN '03_PO'
                           WHEN RO_CLOSE_CRT_CD = 'GR'
                           THEN '04_GR'
                           WHEN RO_CLOSE_CRT_CD = 'WT'
                           THEN '05_WT'
                           WHEN RO_CLOSE_CRT_CD = 'FMS_1K'
                           THEN '06_FMS_1K'
                           WHEN RO_CLOSE_CRT_CD = 'IT'
                           THEN '07_IT'
                           ELSE '09_BP'
                      END AS RO_CLOSE_CRT_CD
                FROM (    
                    SELECT DISTINCT C.DEALER_ID AS DEALER_ID
                        , case when D.DEALER_ID = 'SK00000'
                               then 'DT00000'
                               else D.DEALER_ID
                          end as  SALES_DEALER_ID
                        , A.VIN, A.RO_CLOSE_DT, E.RETAIL_SALES_DT, RO_CLOSE_CRT_CD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to_date('202201', 'YYYYMMDD') - interval '11 MONTH' AND to_date('202201',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to_date('202201', 'YYYYMMDD') - interval '95 MONTH'
                                        AND to_date('202201', 'YYYYMMDD') + INTERVAL '1 MONTH - 1 day'
--                    AND RETAIL_SALES_DT BETWEEN A.RO_CLOSE_DT - interval '95 MONTH'
--                                        AND A.RO_CLOSE_DT + INTERVAL '1 MONTH - 1 day'
                ) A
                WHERE 1=1
                AND A.SALES_DEALER_ID = 'DT00000'
            ) A
            WHERE 1=1
            GROUP BY A.SALES_DEALER_ID, A.VIN
    ) A
    where 1=1
    group by A.SALES_DEALER_ID
        , A.OWN_TYPE_CD
        , A.RO_CLOSE_CRT_CD
) a
where 1=1
and ro_close_crt_cd in ('GR', 'PO')</t>
        </r>
      </text>
    </comment>
    <comment ref="P84" authorId="0" shapeId="0" xr:uid="{6DA20E1B-4267-44BC-9DC5-EACDF6820FE9}">
      <text>
        <r>
          <rPr>
            <b/>
            <sz val="9"/>
            <color indexed="81"/>
            <rFont val="Tahoma"/>
            <family val="2"/>
          </rPr>
          <t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to_date('202201', 'YYYYMMDD') - interval '95 MONTH'
                        AND to_date('202201', 'YYYYMMDD') + INTERVAL '1 MONTH - 1 day'
    group by b.dealer_id
), active_8crt as (
    select a.dealer_id
        , coalesce(SUM(A.OWN_8CNT),0) + coalesce(SUM(A.OTHER_8CNT),0)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to_date('202201', 'YYYYMMDD') - interval '11 MONTH' AND to_date('202201',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to_date('202201', 'YYYYMMDD') - interval '95 MONTH'
                                        AND to_date('202201', 'YYYYMMDD') + INTERVAL '1 MONTH - 1 day'
                    AND RETAIL_SALES_DT BETWEEN A.RO_CLOSE_DT - interval '95 MONTH'
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</t>
        </r>
      </text>
    </comment>
    <comment ref="M86" authorId="0" shapeId="0" xr:uid="{AEA5709D-2AAC-4C2D-88A2-B3C3ED1685BB}">
      <text>
        <r>
          <rPr>
            <b/>
            <sz val="9"/>
            <color indexed="81"/>
            <rFont val="Tahoma"/>
            <family val="2"/>
          </rPr>
          <t>WITH WITH_PARAM AS (
    SELECT '202301' AS YYYY_MM
        ,SUBSTR('202301', 1, 4)  AS YYYY
        ,'DT00000' AS dealer_id
    FROM DUAL
), WITH_PERIOD AS (
    SELECT TO_CHAR(ADD_MONTHS(TO_DATE(A.YYYY_MM,'YYYYMM'), -11),'YYYYMMDD')           AS SVC_START_DT
       , TO_CHAR(LAST_DAY(ADD_MONTHS(TO_DATE(A.YYYY_MM, 'YYYYMM'),0) ),'YYYYMMDD')  AS SVC_END_DT
       , TO_CHAR(ADD_MONTHS(TO_DATE(A.YYYY_MM,'YYYYMM'), -95),'YYYYMMDD')           AS DELIVERY_START_DT
       , TO_CHAR(LAST_DAY(ADD_MONTHS(TO_DATE(A.YYYY_MM, 'YYYYMM'),0) ),'YYYYMMDD')  AS DELIVERY_END_DT
       , TO_CHAR(ADD_MONTHS(TO_DATE(A.YYYY_MM, 'YYYYMM'), -95), 'YYYY')             AS START_YEAR
       , A.*
    FROM WITH_PARAM A)
, WITH_DEL_YEAR AS (
    SELECT TO_CHAR(START_YEAR+ (ROWNUM-1)) AS DELIVERY_YEAR
    FROM WITH_PERIOD
    CONNECT BY LEVEL &lt; (TO_NUMBER(YYYY)-START_YEAR)+2
), WITH_SHOP_CD AS(
    SELECT GROUP_ID DEALER_ID, GROUP_NAME DEALER_NM, DSPY_RANK AS DSPY_RANK
    FROM CO_HOLDINGS
    WHERE GROUP_TYPE = 'S'
    AND USE_YN = 'Y'
    AND GROUP_ID != 'SK00000'
    AND (GROUP_ID = 'DT00000' OR SUBSTR('DT00000',0,2) = 'TM')
)
SELECT SUM(CNT)
FROM (
    SELECT SALES_DEALER_ID,
        SUBSTR(OWN_CD, 5) AS OWN_CD,
        SUBSTR(NEW_RO_TYPE_CD, 5) AS NEW_RO_TYPE_CD,
        DELIVERY_YEAR,
        COUNT (VIN) AS CNT
    FROM (
        SELECT SALES_DEALER_ID,
            VIN,
            DELIVERY_YEAR,
            MIN(DECODE(SALES_DEALER_ID, SERVICE_DEALER_ID, '010.OWN', '020.OTH')) AS OWN_CD,
            MIN (NEW_RO_TYPE_CD) AS NEW_RO_TYPE_CD
        FROM (SELECT A.VIN,
                   A.DEALER_ID AS SALES_DEALER_ID,
                   A.SERVICE_DEALER_ID,
                   TO_CHAR (TO_DATE (A.DELIVERY_DT, 'YYYY-MM-DD'), 'YYYY') AS DELIVERY_YEAR,
                   CASE WHEN A.NEW_RO_TYPE_CD = 'F' AND A.RO_TYPE_CD_ORGN = 'F'
                        THEN '021.FMS'
                        WHEN A.NEW_RO_TYPE_CD = 'F' AND A.RO_TYPE_CD_ORGN = 'Y'
                        THEN '022.PSP'
                        WHEN A.NEW_RO_TYPE_CD = 'F' AND A.RO_TYPE_CD_ORGN NOT IN ('F', 'Y')
                        THEN '023.PM_Others'
                        WHEN A.NEW_RO_TYPE_CD IN ('G', 'I', 'Y', 'P')
                        THEN '024.GR'
                        WHEN A.NEW_RO_TYPE_CD = 'W'
                        THEN '030.Warranty'
                        WHEN A.NEW_RO_TYPE_CD = '1K'
                        THEN '040.1K'
                        WHEN A.NEW_RO_TYPE_CD = 'S'
                        THEN '050.Internal'
                        ELSE '999.Total'
                   END AS NEW_RO_TYPE_CD
              FROM (SELECT (SELECT CASE WHEN UP_GROUP_ID = 'SK00000'
                                        THEN 'DT00000'
                                        ELSE HOLDING_ID
                                   END
                            FROM CO_GROUP
                            WHERE GROUP_ID = A.SHOP_CD
                            ) AS SERVICE_DEALER_ID,
                          A.*
                      FROM (SELECT A.*,
                                   CASE WHEN B.LINEOFF_DT IS NULL THEN 'Y' 
                                        ELSE 'N'
                                   END AS GRAY_YN,
                                   (SELECT CASE WHEN B.SALES_DEALER_ID = 'SK00000' 
                                                THEN 'DT00000'
                                                ELSE HOLDING_ID
                                           END
                                    FROM CO_GROUP
                                    WHERE GROUP_ID =  B.SALES_DEALER_ID ) AS DEALER_ID, 
                                   B.DELIVERY_DT,
                                   RANK () OVER (PARTITION BY A.VIN ORDER BY A.PROPO_DT DESC) AS RK
                              FROM (  SELECT A.SHOP_CD,
                                             A.PROPO_DT,
                                             A.VIN,
                                             A.CLOSE_DT,
                                             A.NEW_RO_TYPE_CD,
                                             A.RO_TYPE_CD_ORGN
                                        FROM SVC_CLOSE_TRAFFIC_LEGACY A,
                                             WITH_PERIOD P,
                                             OM_CONTRACT B
                                       WHERE 1 = 1
                                             AND A.REPAIR_TYPE_CD = '1'
                                             AND A.CLOSE_DT BETWEEN P.SVC_START_DT
                                                                AND  P.SVC_END_DT
                                            AND A.VIN IN (SELECT VIN FROM OM_CONTRACT WHERE REPLACE(SUBSTR(LAST_RETAIL_SALES_DT,1,10),'-' ,'') 
                                                                     BETWEEN TO_CHAR(ADD_MONTHS(TO_DATE(A.CLOSE_YYYYMM||'01'),-95),'YYYYMMDD') 
                                                                     AND TO_CHAR (LAST_DAY (ADD_MONTHS (TO_DATE (A.CLOSE_YYYYMM, 'YYYYMM'), 0)),'YYYYMMDD'))     
                                             AND A.VIN = B.VIN
                                            AND B.CONTRACT_STAT_CD = 'D4'
                                            AND REPLACE ( SUBSTR ( LAST_RETAIL_SALES_DT, 1, 10), '-','') BETWEEN P.DELIVERY_START_DT AND P.DELIVERY_END_DT  
                                    GROUP BY A.SHOP_CD,
                                             A.PROPO_DT,
                                             A.VIN,
                                             A.CLOSE_DT,
                                             A.RO_TYPE_CD_ORGN,
                                             A.NEW_RO_TYPE_CD) A,
                                   CO_VEHIC B,
                                   VS_VARIANT V
                             WHERE 1 = 1
                               AND A.VIN = B.VIN
                               AND B.VARIANT_CD = V.VARIANT_CD(+)
                     ) A,
                         WITH_SHOP_CD S
                     WHERE     1 = 1
                     AND A.GRAY_YN = 'N'
                     AND A.DEALER_ID = S.DEALER_ID
                       --    and A.RK =1 
                           ) A)
          GROUP BY SALES_DEALER_ID, VIN, DELIVERY_YEAR)
    GROUP BY SALES_DEALER_ID,
        OWN_CD,
        NEW_RO_TYPE_CD,
        DELIVERY_YEAR
)
WHERE 1=1
AND NEW_RO_TYPE_CD IN ('FMS', '1K')
AND DELIVERY_YEAR = '2021'</t>
        </r>
      </text>
    </comment>
    <comment ref="N86" authorId="0" shapeId="0" xr:uid="{AE8103BD-DCB0-4BB0-8209-C50567299EC2}">
      <text>
        <r>
          <rPr>
            <b/>
            <sz val="9"/>
            <color indexed="81"/>
            <rFont val="Tahoma"/>
            <family val="2"/>
          </rPr>
          <t>SELECT  NVL(SUM(A.OWN_8CNT),0) + NVL(SUM(A.OTHER_8CNT),0) AS Active_Cust
FROM    (
        SELECT  A.SALES_HID
                , A.VIN
                , MAX(A.OWN_8CNT) OWN_8CNT
                , DECODE(MAX(A.OWN_8CNT),0,MAX(A.OTHER_8CNT),0) OTHER_8CNT
        FROM    (    
                SELECT  A.SALES_HID, A.VIN
                        , CASE WHEN A.SERVICE_HID=A.SALES_HID THEN 1 ELSE 0 END AS OWN_8CNT
                        , CASE WHEN A.SERVICE_HID!=A.SALES_HID THEN 1 ELSE 0 END AS OTHER_8CNT
                FROM    (    
                        SELECT  DISTINCT C.HOLDING_ID AS SERVICE_HID, DECODE(D.HOLDING_ID,'SK00000','DT00000',D.HOLDING_ID) AS SALES_HID, A.VIN, A.CLOSE_YYYYMM, E.LAST_RETAIL_SALES_DT
                        FROM    SVC_CLOSE_TRAFFIC_LEGACY A
                                , CO_VEHIC B
                                , CO_GROUP C
                                , CO_GROUP D
                                , OM_CONTRACT E
                        WHERE   A.REPAIR_TYPE_CD='1'
                        AND     A.CLOSE_DT BETWEEN TO_CHAR(ADD_MONTHS(TRUNC(TO_DATE('202301','YYYYMM'),'MONTH'),-11),'YYYYMMDD') AND TO_CHAR(LAST_DAY(TO_DATE('202301','YYYYMM')),'YYYYMMDD')
                        AND     A.VIN=B.VIN
                        AND     A.VIN=E.VIN
                        AND     A.SHOP_CD=C.GROUP_ID
                        AND     B.SALES_DEALER_ID=D.GROUP_ID
                        AND     B.LINEOFF_DT IS NOT NULL
                        AND     TO_CHAR(TO_DATE(LAST_RETAIL_SALES_DT, 'YYYY-MM-DD HH24:MI:SS'), 'YYYYMMDD') BETWEEN TO_CHAR(ADD_MONTHS(TO_DATE('202301' , 'YYYYMM'), -95), 'YYYYMMDD')
                        AND     LAST_DAY(TO_CHAR(ADD_MONTHS(TO_DATE('202301' , 'YYYYMM'), 0), 'YYYYMMDD'))
                        AND     TO_CHAR(TO_DATE(LAST_RETAIL_SALES_DT, 'YYYY-MM-DD HH24:MI:SS'), 'YYYYMMDD') BETWEEN TO_CHAR(ADD_MONTHS(TO_DATE('202301', 'YYYYMM'), -95), 'YYYYMMDD')
                        AND     LAST_DAY(TO_CHAR(ADD_MONTHS(TO_DATE(A.CLOSE_YYYYMM, 'YYYYMM'), 0), 'YYYYMMDD'))
                        ) A
                  WHERE     A.SALES_HID='DT00000'  
                ) A                
        GROUP BY A.SALES_HID, A.VIN
        ) A
WHERE   1=1</t>
        </r>
      </text>
    </comment>
    <comment ref="O86" authorId="0" shapeId="0" xr:uid="{F081F0E5-630C-4225-A8C3-4593FAF7C7F6}">
      <text>
        <r>
          <rPr>
            <b/>
            <sz val="9"/>
            <color indexed="81"/>
            <rFont val="Tahoma"/>
            <family val="2"/>
          </rPr>
          <t xml:space="preserve">
select sum(val)
from (
    SELECT SALES_DEALER_ID AS DEALER_ID
        , '202301' AS STD_DT
        , RO_CLOSE_CRT_CD
        , RETAIL_YEAR
        , COUNT(*) AS VAL
    FROM (
        SELECT SALES_DEALER_ID
            , VIN
            , RETAIL_YEAR
            , substring(MIN(OWN_TYPE_CD), 4) AS OWN_TYPE_CD
            , substring(MIN(RO_CLOSE_CRT_CD), 4) AS RO_CLOSE_CRT_CD
        FROM (
            SELECT SALES_DEALER_ID
                , VIN
                , RETAIL_YEAR
                , case when A.DEALER_ID = A.SALES_DEALER_ID
                       then '01_OWN'
                       else '02_OTH'
                  end AS OWN_TYPE_CD
                , CASE WHEN RO_CLOSE_CRT_CD = 'FMS'
                       THEN '01_FMS'
                       WHEN RO_CLOSE_CRT_CD = 'PSP'
                       THEN '02_PSP'
                       WHEN RO_CLOSE_CRT_CD = 'PO'
                       THEN '03_PO'
                       WHEN RO_CLOSE_CRT_CD = 'GR'
                       THEN '04_GR'
                       WHEN RO_CLOSE_CRT_CD = 'WT'
                       THEN '05_WT'
                       WHEN RO_CLOSE_CRT_CD = 'FMS_1K'
                       THEN '06_FMS_1K'
                       WHEN RO_CLOSE_CRT_CD = 'IT'
                       THEN '07_IT'
                       ELSE '09_BP'
                  END AS RO_CLOSE_CRT_CD
            FROM (
                SELECT DISTINCT C.DEALER_ID AS DEALER_ID
                    , case when D.DEALER_ID = 'SK00000'
                           then 'DT00000'
                           else D.DEALER_ID
                      end AS SALES_DEALER_ID
                    , A.VIN
                    , A.RO_CLOSE_CRT_CD
                    , TO_CHAR(E.RETAIL_SALES_DT, 'YYYY') AS RETAIL_YEAR
                FROM DMS_SVC_RO A
                    , DMS_CO_VEHIC B
                    , DMS_CO_GROUP C
                    , DMS_CO_GROUP D
                    , DMS_SALES_CONTRACT E
                WHERE A.REPAIR_TYPE_CD='1'
                AND A.RO_CLOSE_DT BETWEEN to_date('202301'::text || '01'::text, 'yyyymmdd'::text) - '11 mons'::interval AND to_date('202301' || '01'::text, 'yyyymmdd'::text) + '1 mon -1 days'::interval
                AND A.VIN=B.VIN
                AND A.VIN=E.VIN
                AND A.GROUP_ID=C.GROUP_ID
                AND B.SALES_DEALER_ID=D.GROUP_ID
                AND C.YYYYMM = '202301'
                AND D.YYYYMM = '202301'
                AND A.STAT_CD != '99'
                AND E.CONTRACT_STAT_CD = 'D4'
                AND B.LINEOFF_DT IS NOT null
                AND RETAIL_SALES_DT BETWEEN to_date('202301'::text||'01', 'YYYYMMDD'::text) - '7 years 11 mons'::interval
                                    AND to_date('202301'::text||'01', 'YYYYMMDD'::text) + '1 mon -1 days'::interval
--                AND RETAIL_SALES_DT BETWEEN a.ro_close_dt - '7 years 11 mons'::interval
--                                    AND a.ro_close_dt + '1 mon -1 days'::interval
            ) A
            WHERE 1=1
            AND A.SALES_DEALER_ID = 'DT00000' 
        ) a
        WHERE 1=1
        GROUP BY SALES_DEALER_ID
            , VIN
            , RETAIL_YEAR
    ) a
    WHERE 1=1
    GROUP BY 
        SALES_DEALER_ID
        , RETAIL_YEAR
        , OWN_TYPE_CD
        , RO_CLOSE_CRT_CD
) a
where 1=1
and ro_close_crt_cd in ('FMS', 'FMS_1K')
and retail_year = '2021'</t>
        </r>
      </text>
    </comment>
    <comment ref="P86" authorId="0" shapeId="0" xr:uid="{A68D3529-C05D-486C-8AD2-022F0CC41AE6}">
      <text>
        <r>
          <rPr>
            <b/>
            <sz val="9"/>
            <color indexed="81"/>
            <rFont val="Tahoma"/>
            <family val="2"/>
          </rPr>
          <t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to_date('202301', 'YYYYMMDD') - interval '95 MONTH'
                        AND to_date('202301', 'YYYYMMDD') + INTERVAL '1 MONTH - 1 day'
    group by b.dealer_id
), active_8crt as (
    select a.dealer_id
        , coalesce(SUM(A.OWN_8CNT),0) + coalesce(SUM(A.OTHER_8CNT),0)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to_date('202301', 'YYYYMMDD') - interval '11 MONTH' AND to_date('202301',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to_date('202301', 'YYYYMMDD') - interval '95 MONTH'
                                        AND to_date('202301', 'YYYYMMDD') + INTERVAL '1 MONTH - 1 day'
--                    AND RETAIL_SALES_DT BETWEEN A.RO_CLOSE_DT - interval '95 MONTH'
--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</t>
        </r>
      </text>
    </comment>
    <comment ref="M87" authorId="0" shapeId="0" xr:uid="{B1481E08-226F-4AAB-8DA9-34FA94946E4F}">
      <text>
        <r>
          <rPr>
            <b/>
            <sz val="9"/>
            <color indexed="81"/>
            <rFont val="Tahoma"/>
            <family val="2"/>
          </rPr>
          <t>WITH WITH_PARAM AS (
    SELECT '202301' AS YYYY_MM
        ,SUBSTR('202301', 1, 4)  AS YYYY
        ,'DT00000' AS dealer_id
    FROM DUAL
), WITH_PERIOD AS (
    SELECT TO_CHAR(ADD_MONTHS(TO_DATE(A.YYYY_MM,'YYYYMM'), -11),'YYYYMMDD')           AS SVC_START_DT
       , TO_CHAR(LAST_DAY(ADD_MONTHS(TO_DATE(A.YYYY_MM, 'YYYYMM'),0) ),'YYYYMMDD')  AS SVC_END_DT
       , TO_CHAR(ADD_MONTHS(TO_DATE(A.YYYY_MM,'YYYYMM'), -95),'YYYYMMDD')           AS DELIVERY_START_DT
       , TO_CHAR(LAST_DAY(ADD_MONTHS(TO_DATE(A.YYYY_MM, 'YYYYMM'),0) ),'YYYYMMDD')  AS DELIVERY_END_DT
       , TO_CHAR(ADD_MONTHS(TO_DATE(A.YYYY_MM, 'YYYYMM'), -95), 'YYYY')             AS START_YEAR
       , A.*
    FROM WITH_PARAM A)
, WITH_DEL_YEAR AS (
    SELECT TO_CHAR(START_YEAR+ (ROWNUM-1)) AS DELIVERY_YEAR
    FROM WITH_PERIOD
    CONNECT BY LEVEL &lt; (TO_NUMBER(YYYY)-START_YEAR)+2
), WITH_SHOP_CD AS(
    SELECT GROUP_ID DEALER_ID, GROUP_NAME DEALER_NM, DSPY_RANK AS DSPY_RANK
    FROM CO_HOLDINGS
    WHERE GROUP_TYPE = 'S'
    AND USE_YN = 'Y'
    AND GROUP_ID != 'SK00000'
    AND (GROUP_ID = 'DT00000' OR SUBSTR('DT00000',0,2) = 'TM')
)
SELECT SUM(CNT)
FROM (
    SELECT SALES_DEALER_ID,
        SUBSTR(OWN_CD, 5) AS OWN_CD,
        SUBSTR(NEW_RO_TYPE_CD, 5) AS NEW_RO_TYPE_CD,
        DELIVERY_YEAR,
        COUNT (VIN) AS CNT
    FROM (
        SELECT SALES_DEALER_ID,
            VIN,
            DELIVERY_YEAR,
            MIN(DECODE(SALES_DEALER_ID, SERVICE_DEALER_ID, '010.OWN', '020.OTH')) AS OWN_CD,
            MIN (NEW_RO_TYPE_CD) AS NEW_RO_TYPE_CD
        FROM (SELECT A.VIN,
                   A.DEALER_ID AS SALES_DEALER_ID,
                   A.SERVICE_DEALER_ID,
                   TO_CHAR (TO_DATE (A.DELIVERY_DT, 'YYYY-MM-DD'), 'YYYY') AS DELIVERY_YEAR,
                   CASE WHEN A.NEW_RO_TYPE_CD = 'F' AND A.RO_TYPE_CD_ORGN = 'F'
                        THEN '021.FMS'
                        WHEN A.NEW_RO_TYPE_CD = 'F' AND A.RO_TYPE_CD_ORGN = 'Y'
                        THEN '022.PSP'
                        WHEN A.NEW_RO_TYPE_CD = 'F' AND A.RO_TYPE_CD_ORGN NOT IN ('F', 'Y')
                        THEN '023.PM_Others'
                        WHEN A.NEW_RO_TYPE_CD IN ('G', 'I', 'Y', 'P')
                        THEN '024.GR'
                        WHEN A.NEW_RO_TYPE_CD = 'W'
                        THEN '030.Warranty'
                        WHEN A.NEW_RO_TYPE_CD = '1K'
                        THEN '040.1K'
                        WHEN A.NEW_RO_TYPE_CD = 'S'
                        THEN '050.Internal'
                        ELSE '999.Total'
                   END AS NEW_RO_TYPE_CD
              FROM (SELECT (SELECT CASE WHEN UP_GROUP_ID = 'SK00000'
                                        THEN 'DT00000'
                                        ELSE HOLDING_ID
                                   END
                            FROM CO_GROUP
                            WHERE GROUP_ID = A.SHOP_CD
                            ) AS SERVICE_DEALER_ID,
                          A.*
                      FROM (SELECT A.*,
                                   CASE WHEN B.LINEOFF_DT IS NULL THEN 'Y' 
                                        ELSE 'N'
                                   END AS GRAY_YN,
                                   (SELECT CASE WHEN B.SALES_DEALER_ID = 'SK00000' 
                                                THEN 'DT00000'
                                                ELSE HOLDING_ID
                                           END
                                    FROM CO_GROUP
                                    WHERE GROUP_ID =  B.SALES_DEALER_ID ) AS DEALER_ID, 
                                   B.DELIVERY_DT,
                                   RANK () OVER (PARTITION BY A.VIN ORDER BY A.PROPO_DT DESC) AS RK
                              FROM (  SELECT A.SHOP_CD,
                                             A.PROPO_DT,
                                             A.VIN,
                                             A.CLOSE_DT,
                                             A.NEW_RO_TYPE_CD,
                                             A.RO_TYPE_CD_ORGN
                                        FROM SVC_CLOSE_TRAFFIC_LEGACY A,
                                             WITH_PERIOD P,
                                             OM_CONTRACT B
                                       WHERE 1 = 1
                                             AND A.REPAIR_TYPE_CD = '1'
                                             AND A.CLOSE_DT BETWEEN P.SVC_START_DT
                                                                AND  P.SVC_END_DT
                                            AND A.VIN IN (SELECT VIN FROM OM_CONTRACT WHERE REPLACE(SUBSTR(LAST_RETAIL_SALES_DT,1,10),'-' ,'') 
                                                                     BETWEEN TO_CHAR(ADD_MONTHS(TO_DATE(A.CLOSE_YYYYMM||'01'),-95),'YYYYMMDD') 
                                                                     AND TO_CHAR (LAST_DAY (ADD_MONTHS (TO_DATE (A.CLOSE_YYYYMM, 'YYYYMM'), 0)),'YYYYMMDD'))     
                                             AND A.VIN = B.VIN
                                            AND B.CONTRACT_STAT_CD = 'D4'
                                            AND REPLACE ( SUBSTR ( LAST_RETAIL_SALES_DT, 1, 10), '-','') BETWEEN P.DELIVERY_START_DT AND P.DELIVERY_END_DT  
                                    GROUP BY A.SHOP_CD,
                                             A.PROPO_DT,
                                             A.VIN,
                                             A.CLOSE_DT,
                                             A.RO_TYPE_CD_ORGN,
                                             A.NEW_RO_TYPE_CD) A,
                                   CO_VEHIC B,
                                   VS_VARIANT V
                             WHERE 1 = 1
                               AND A.VIN = B.VIN
                               AND B.VARIANT_CD = V.VARIANT_CD(+)
                     ) A,
                         WITH_SHOP_CD S
                     WHERE     1 = 1
                     AND A.GRAY_YN = 'N'
                     AND A.DEALER_ID = S.DEALER_ID
                       --    and A.RK =1 
                           ) A)
          GROUP BY SALES_DEALER_ID, VIN, DELIVERY_YEAR)
    GROUP BY SALES_DEALER_ID,
        OWN_CD,
        NEW_RO_TYPE_CD,
        DELIVERY_YEAR
)
WHERE 1=1
AND NEW_RO_TYPE_CD = 'PSP'
AND DELIVERY_YEAR = '2021'</t>
        </r>
      </text>
    </comment>
    <comment ref="N87" authorId="0" shapeId="0" xr:uid="{7D9D5E64-2F1D-4344-AE67-6E246EC2E938}">
      <text>
        <r>
          <rPr>
            <b/>
            <sz val="9"/>
            <color indexed="81"/>
            <rFont val="Tahoma"/>
            <family val="2"/>
          </rPr>
          <t>SELECT  NVL(SUM(A.OWN_8CNT),0) + NVL(SUM(A.OTHER_8CNT),0) AS Active_Cust
FROM    (
        SELECT  A.SALES_HID
                , A.VIN
                , MAX(A.OWN_8CNT) OWN_8CNT
                , DECODE(MAX(A.OWN_8CNT),0,MAX(A.OTHER_8CNT),0) OTHER_8CNT
        FROM    (    
                SELECT  A.SALES_HID, A.VIN
                        , CASE WHEN A.SERVICE_HID=A.SALES_HID THEN 1 ELSE 0 END AS OWN_8CNT
                        , CASE WHEN A.SERVICE_HID!=A.SALES_HID THEN 1 ELSE 0 END AS OTHER_8CNT
                FROM    (    
                        SELECT  DISTINCT C.HOLDING_ID AS SERVICE_HID, DECODE(D.HOLDING_ID,'SK00000','DT00000',D.HOLDING_ID) AS SALES_HID, A.VIN, A.CLOSE_YYYYMM, E.LAST_RETAIL_SALES_DT
                        FROM    SVC_CLOSE_TRAFFIC_LEGACY A
                                , CO_VEHIC B
                                , CO_GROUP C
                                , CO_GROUP D
                                , OM_CONTRACT E
                        WHERE   A.REPAIR_TYPE_CD='1'
                        AND     A.CLOSE_DT BETWEEN TO_CHAR(ADD_MONTHS(TRUNC(TO_DATE('202301','YYYYMM'),'MONTH'),-11),'YYYYMMDD') AND TO_CHAR(LAST_DAY(TO_DATE('202301','YYYYMM')),'YYYYMMDD')
                        AND     A.VIN=B.VIN
                        AND     A.VIN=E.VIN
                        AND     A.SHOP_CD=C.GROUP_ID
                        AND     B.SALES_DEALER_ID=D.GROUP_ID
                        AND     B.LINEOFF_DT IS NOT NULL
                        AND     TO_CHAR(TO_DATE(LAST_RETAIL_SALES_DT, 'YYYY-MM-DD HH24:MI:SS'), 'YYYYMMDD') BETWEEN TO_CHAR(ADD_MONTHS(TO_DATE('202301' , 'YYYYMM'), -95), 'YYYYMMDD')
                        AND     LAST_DAY(TO_CHAR(ADD_MONTHS(TO_DATE('202301' , 'YYYYMM'), 0), 'YYYYMMDD'))
                        AND     TO_CHAR(TO_DATE(LAST_RETAIL_SALES_DT, 'YYYY-MM-DD HH24:MI:SS'), 'YYYYMMDD') BETWEEN TO_CHAR(ADD_MONTHS(TO_DATE('202301', 'YYYYMM'), -95), 'YYYYMMDD')
                        AND     LAST_DAY(TO_CHAR(ADD_MONTHS(TO_DATE(A.CLOSE_YYYYMM, 'YYYYMM'), 0), 'YYYYMMDD'))
                        ) A
                  WHERE     A.SALES_HID='DT00000'  
                ) A                
        GROUP BY A.SALES_HID, A.VIN
        ) A
WHERE   1=1</t>
        </r>
      </text>
    </comment>
    <comment ref="O87" authorId="0" shapeId="0" xr:uid="{23629C52-6FF1-4A7B-84CD-43BD3654866B}">
      <text>
        <r>
          <rPr>
            <b/>
            <sz val="9"/>
            <color indexed="81"/>
            <rFont val="Tahoma"/>
            <family val="2"/>
          </rPr>
          <t>select sum(val)
from (
    SELECT SALES_DEALER_ID AS DEALER_ID
        , '202301' AS STD_DT
        , RO_CLOSE_CRT_CD
        , RETAIL_YEAR
        , COUNT(*) AS VAL
    FROM (
        SELECT SALES_DEALER_ID
            , VIN
            , RETAIL_YEAR
            , substring(MIN(OWN_TYPE_CD), 4) AS OWN_TYPE_CD
            , substring(MIN(RO_CLOSE_CRT_CD), 4) AS RO_CLOSE_CRT_CD
        FROM (
            SELECT SALES_DEALER_ID
                , VIN
                , RETAIL_YEAR
                , case when A.DEALER_ID = A.SALES_DEALER_ID
                       then '01_OWN'
                       else '02_OTH'
                  end AS OWN_TYPE_CD
                , CASE WHEN RO_CLOSE_CRT_CD = 'FMS'
                       THEN '01_FMS'
                       WHEN RO_CLOSE_CRT_CD = 'PSP'
                       THEN '02_PSP'
                       WHEN RO_CLOSE_CRT_CD = 'PO'
                       THEN '03_PO'
                       WHEN RO_CLOSE_CRT_CD = 'GR'
                       THEN '04_GR'
                       WHEN RO_CLOSE_CRT_CD = 'WT'
                       THEN '05_WT'
                       WHEN RO_CLOSE_CRT_CD = 'FMS_1K'
                       THEN '06_FMS_1K'
                       WHEN RO_CLOSE_CRT_CD = 'IT'
                       THEN '07_IT'
                       ELSE '09_BP'
                  END AS RO_CLOSE_CRT_CD
            FROM (
                SELECT DISTINCT C.DEALER_ID AS DEALER_ID
                    , case when D.DEALER_ID = 'SK00000'
                           then 'DT00000'
                           else D.DEALER_ID
                      end AS SALES_DEALER_ID
                    , A.VIN
                    , A.RO_CLOSE_CRT_CD
                    , TO_CHAR(E.RETAIL_SALES_DT, 'YYYY') AS RETAIL_YEAR
                FROM DMS_SVC_RO A
                    , DMS_CO_VEHIC B
                    , DMS_CO_GROUP C
                    , DMS_CO_GROUP D
                    , DMS_SALES_CONTRACT E
                WHERE A.REPAIR_TYPE_CD='1'
                AND A.RO_CLOSE_DT BETWEEN to_date('202301'::text || '01'::text, 'yyyymmdd'::text) - '11 mons'::interval AND to_date('202301' || '01'::text, 'yyyymmdd'::text) + '1 mon -1 days'::interval
                AND A.VIN=B.VIN
                AND A.VIN=E.VIN
                AND A.GROUP_ID=C.GROUP_ID
                AND B.SALES_DEALER_ID=D.GROUP_ID
                AND C.YYYYMM = '202301'
                AND D.YYYYMM = '202301'
                AND A.STAT_CD != '99'
                AND E.CONTRACT_STAT_CD = 'D4'
                AND B.LINEOFF_DT IS NOT null
                AND RETAIL_SALES_DT BETWEEN to_date('202301'::text||'01', 'YYYYMMDD'::text) - '7 years 11 mons'::interval
                                    AND to_date('202301'::text||'01', 'YYYYMMDD'::text) + '1 mon -1 days'::interval
--                AND RETAIL_SALES_DT BETWEEN a.ro_close_dt - '7 years 11 mons'::interval
--                                    AND a.ro_close_dt + '1 mon -1 days'::interval
            ) A
            WHERE 1=1
            AND A.SALES_DEALER_ID = 'DT00000' 
        ) a
        WHERE 1=1
        GROUP BY SALES_DEALER_ID
            , VIN
            , RETAIL_YEAR
    ) a
    WHERE 1=1
    GROUP BY 
        SALES_DEALER_ID
        , RETAIL_YEAR
        , OWN_TYPE_CD
        , RO_CLOSE_CRT_CD
) a
where 1=1
and ro_close_crt_cd in ('PSP')
and retail_year = '2021'</t>
        </r>
      </text>
    </comment>
    <comment ref="P87" authorId="0" shapeId="0" xr:uid="{3A13B793-ED94-481B-85DB-5B82783B12EB}">
      <text>
        <r>
          <rPr>
            <b/>
            <sz val="9"/>
            <color indexed="81"/>
            <rFont val="Tahoma"/>
            <family val="2"/>
          </rPr>
          <t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to_date('202301', 'YYYYMMDD') - interval '95 MONTH'
                        AND to_date('202301', 'YYYYMMDD') + INTERVAL '1 MONTH - 1 day'
    group by b.dealer_id
), active_8crt as (
    select a.dealer_id
        , coalesce(SUM(A.OWN_8CNT),0) + coalesce(SUM(A.OTHER_8CNT),0)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to_date('202301', 'YYYYMMDD') - interval '11 MONTH' AND to_date('202301',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to_date('202301', 'YYYYMMDD') - interval '95 MONTH'
                                        AND to_date('202301', 'YYYYMMDD') + INTERVAL '1 MONTH - 1 day'
--                    AND RETAIL_SALES_DT BETWEEN A.RO_CLOSE_DT - interval '95 MONTH'
--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</t>
        </r>
      </text>
    </comment>
    <comment ref="M88" authorId="0" shapeId="0" xr:uid="{AE6A2DCB-F085-48EA-A6A7-D6A203CE940A}">
      <text>
        <r>
          <rPr>
            <b/>
            <sz val="9"/>
            <color indexed="81"/>
            <rFont val="Tahoma"/>
            <family val="2"/>
          </rPr>
          <t>WITH WITH_PARAM AS (
    SELECT '202301' AS YYYY_MM
        ,SUBSTR('202301', 1, 4)  AS YYYY
        ,'DT00000' AS dealer_id
    FROM DUAL
), WITH_PERIOD AS (
    SELECT TO_CHAR(ADD_MONTHS(TO_DATE(A.YYYY_MM,'YYYYMM'), -11),'YYYYMMDD')           AS SVC_START_DT
       , TO_CHAR(LAST_DAY(ADD_MONTHS(TO_DATE(A.YYYY_MM, 'YYYYMM'),0) ),'YYYYMMDD')  AS SVC_END_DT
       , TO_CHAR(ADD_MONTHS(TO_DATE(A.YYYY_MM,'YYYYMM'), -95),'YYYYMMDD')           AS DELIVERY_START_DT
       , TO_CHAR(LAST_DAY(ADD_MONTHS(TO_DATE(A.YYYY_MM, 'YYYYMM'),0) ),'YYYYMMDD')  AS DELIVERY_END_DT
       , TO_CHAR(ADD_MONTHS(TO_DATE(A.YYYY_MM, 'YYYYMM'), -95), 'YYYY')             AS START_YEAR
       , A.*
    FROM WITH_PARAM A)
, WITH_DEL_YEAR AS (
    SELECT TO_CHAR(START_YEAR+ (ROWNUM-1)) AS DELIVERY_YEAR
    FROM WITH_PERIOD
    CONNECT BY LEVEL &lt; (TO_NUMBER(YYYY)-START_YEAR)+2
), WITH_SHOP_CD AS(
    SELECT GROUP_ID DEALER_ID, GROUP_NAME DEALER_NM, DSPY_RANK AS DSPY_RANK
    FROM CO_HOLDINGS
    WHERE GROUP_TYPE = 'S'
    AND USE_YN = 'Y'
    AND GROUP_ID != 'SK00000'
    AND (GROUP_ID = 'DT00000' OR SUBSTR('DT00000',0,2) = 'TM')
)
SELECT SUM(CNT)
FROM (
    SELECT SALES_DEALER_ID,
        SUBSTR(OWN_CD, 5) AS OWN_CD,
        SUBSTR(NEW_RO_TYPE_CD, 5) AS NEW_RO_TYPE_CD,
        DELIVERY_YEAR,
        COUNT (VIN) AS CNT
    FROM (
        SELECT SALES_DEALER_ID,
            VIN,
            DELIVERY_YEAR,
            MIN(DECODE(SALES_DEALER_ID, SERVICE_DEALER_ID, '010.OWN', '020.OTH')) AS OWN_CD,
            MIN (NEW_RO_TYPE_CD) AS NEW_RO_TYPE_CD
        FROM (SELECT A.VIN,
                   A.DEALER_ID AS SALES_DEALER_ID,
                   A.SERVICE_DEALER_ID,
                   TO_CHAR (TO_DATE (A.DELIVERY_DT, 'YYYY-MM-DD'), 'YYYY') AS DELIVERY_YEAR,
                   CASE WHEN A.NEW_RO_TYPE_CD = 'F' AND A.RO_TYPE_CD_ORGN = 'F'
                        THEN '021.FMS'
                        WHEN A.NEW_RO_TYPE_CD = 'F' AND A.RO_TYPE_CD_ORGN = 'Y'
                        THEN '022.PSP'
                        WHEN A.NEW_RO_TYPE_CD = 'F' AND A.RO_TYPE_CD_ORGN NOT IN ('F', 'Y')
                        THEN '023.PM_Others'
                        WHEN A.NEW_RO_TYPE_CD IN ('G', 'I', 'Y', 'P')
                        THEN '024.GR'
                        WHEN A.NEW_RO_TYPE_CD = 'W'
                        THEN '030.Warranty'
                        WHEN A.NEW_RO_TYPE_CD = '1K'
                        THEN '040.1K'
                        WHEN A.NEW_RO_TYPE_CD = 'S'
                        THEN '050.Internal'
                        ELSE '999.Total'
                   END AS NEW_RO_TYPE_CD
              FROM (SELECT (SELECT CASE WHEN UP_GROUP_ID = 'SK00000'
                                        THEN 'DT00000'
                                        ELSE HOLDING_ID
                                   END
                            FROM CO_GROUP
                            WHERE GROUP_ID = A.SHOP_CD
                            ) AS SERVICE_DEALER_ID,
                          A.*
                      FROM (SELECT A.*,
                                   CASE WHEN B.LINEOFF_DT IS NULL THEN 'Y' 
                                        ELSE 'N'
                                   END AS GRAY_YN,
                                   (SELECT CASE WHEN B.SALES_DEALER_ID = 'SK00000' 
                                                THEN 'DT00000'
                                                ELSE HOLDING_ID
                                           END
                                    FROM CO_GROUP
                                    WHERE GROUP_ID =  B.SALES_DEALER_ID ) AS DEALER_ID, 
                                   B.DELIVERY_DT,
                                   RANK () OVER (PARTITION BY A.VIN ORDER BY A.PROPO_DT DESC) AS RK
                              FROM (  SELECT A.SHOP_CD,
                                             A.PROPO_DT,
                                             A.VIN,
                                             A.CLOSE_DT,
                                             A.NEW_RO_TYPE_CD,
                                             A.RO_TYPE_CD_ORGN
                                        FROM SVC_CLOSE_TRAFFIC_LEGACY A,
                                             WITH_PERIOD P,
                                             OM_CONTRACT B
                                       WHERE 1 = 1
                                             AND A.REPAIR_TYPE_CD = '1'
                                             AND A.CLOSE_DT BETWEEN P.SVC_START_DT
                                                                AND  P.SVC_END_DT
                                            AND A.VIN IN (SELECT VIN FROM OM_CONTRACT WHERE REPLACE(SUBSTR(LAST_RETAIL_SALES_DT,1,10),'-' ,'') 
                                                                     BETWEEN TO_CHAR(ADD_MONTHS(TO_DATE(A.CLOSE_YYYYMM||'01'),-95),'YYYYMMDD') 
                                                                     AND TO_CHAR (LAST_DAY (ADD_MONTHS (TO_DATE (A.CLOSE_YYYYMM, 'YYYYMM'), 0)),'YYYYMMDD'))     
                                             AND A.VIN = B.VIN
                                            AND B.CONTRACT_STAT_CD = 'D4'
                                            AND REPLACE ( SUBSTR ( LAST_RETAIL_SALES_DT, 1, 10), '-','') BETWEEN P.DELIVERY_START_DT AND P.DELIVERY_END_DT  
                                    GROUP BY A.SHOP_CD,
                                             A.PROPO_DT,
                                             A.VIN,
                                             A.CLOSE_DT,
                                             A.RO_TYPE_CD_ORGN,
                                             A.NEW_RO_TYPE_CD) A,
                                   CO_VEHIC B,
                                   VS_VARIANT V
                             WHERE 1 = 1
                               AND A.VIN = B.VIN
                               AND B.VARIANT_CD = V.VARIANT_CD(+)
                     ) A,
                         WITH_SHOP_CD S
                     WHERE     1 = 1
                     AND A.GRAY_YN = 'N'
                     AND A.DEALER_ID = S.DEALER_ID
                       --    and A.RK =1 
                           ) A)
          GROUP BY SALES_DEALER_ID, VIN, DELIVERY_YEAR)
    GROUP BY SALES_DEALER_ID,
        OWN_CD,
        NEW_RO_TYPE_CD,
        DELIVERY_YEAR
)
WHERE 1=1
AND NEW_RO_TYPE_CD IN ('GR', 'PM_Others')
AND DELIVERY_YEAR = '2021'</t>
        </r>
      </text>
    </comment>
    <comment ref="N88" authorId="0" shapeId="0" xr:uid="{41CE8D5B-E055-4CE6-AF56-F26BEB7E813D}">
      <text>
        <r>
          <rPr>
            <b/>
            <sz val="9"/>
            <color indexed="81"/>
            <rFont val="Tahoma"/>
            <family val="2"/>
          </rPr>
          <t>SELECT  NVL(SUM(A.OWN_8CNT),0) + NVL(SUM(A.OTHER_8CNT),0) AS Active_Cust
FROM    (
        SELECT  A.SALES_HID
                , A.VIN
                , MAX(A.OWN_8CNT) OWN_8CNT
                , DECODE(MAX(A.OWN_8CNT),0,MAX(A.OTHER_8CNT),0) OTHER_8CNT
        FROM    (    
                SELECT  A.SALES_HID, A.VIN
                        , CASE WHEN A.SERVICE_HID=A.SALES_HID THEN 1 ELSE 0 END AS OWN_8CNT
                        , CASE WHEN A.SERVICE_HID!=A.SALES_HID THEN 1 ELSE 0 END AS OTHER_8CNT
                FROM    (    
                        SELECT  DISTINCT C.HOLDING_ID AS SERVICE_HID, DECODE(D.HOLDING_ID,'SK00000','DT00000',D.HOLDING_ID) AS SALES_HID, A.VIN, A.CLOSE_YYYYMM, E.LAST_RETAIL_SALES_DT
                        FROM    SVC_CLOSE_TRAFFIC_LEGACY A
                                , CO_VEHIC B
                                , CO_GROUP C
                                , CO_GROUP D
                                , OM_CONTRACT E
                        WHERE   A.REPAIR_TYPE_CD='1'
                        AND     A.CLOSE_DT BETWEEN TO_CHAR(ADD_MONTHS(TRUNC(TO_DATE('202301','YYYYMM'),'MONTH'),-11),'YYYYMMDD') AND TO_CHAR(LAST_DAY(TO_DATE('202301','YYYYMM')),'YYYYMMDD')
                        AND     A.VIN=B.VIN
                        AND     A.VIN=E.VIN
                        AND     A.SHOP_CD=C.GROUP_ID
                        AND     B.SALES_DEALER_ID=D.GROUP_ID
                        AND     B.LINEOFF_DT IS NOT NULL
                        AND     TO_CHAR(TO_DATE(LAST_RETAIL_SALES_DT, 'YYYY-MM-DD HH24:MI:SS'), 'YYYYMMDD') BETWEEN TO_CHAR(ADD_MONTHS(TO_DATE('202301' , 'YYYYMM'), -95), 'YYYYMMDD')
                        AND     LAST_DAY(TO_CHAR(ADD_MONTHS(TO_DATE('202301' , 'YYYYMM'), 0), 'YYYYMMDD'))
                        AND     TO_CHAR(TO_DATE(LAST_RETAIL_SALES_DT, 'YYYY-MM-DD HH24:MI:SS'), 'YYYYMMDD') BETWEEN TO_CHAR(ADD_MONTHS(TO_DATE('202301', 'YYYYMM'), -95), 'YYYYMMDD')
                        AND     LAST_DAY(TO_CHAR(ADD_MONTHS(TO_DATE(A.CLOSE_YYYYMM, 'YYYYMM'), 0), 'YYYYMMDD'))
                        ) A
                  WHERE     A.SALES_HID='DT00000'  
                ) A                
        GROUP BY A.SALES_HID, A.VIN
        ) A
WHERE   1=1</t>
        </r>
      </text>
    </comment>
    <comment ref="O88" authorId="0" shapeId="0" xr:uid="{E1015022-7FC3-472F-8169-4B4B18B8A805}">
      <text>
        <r>
          <rPr>
            <b/>
            <sz val="9"/>
            <color indexed="81"/>
            <rFont val="Tahoma"/>
            <family val="2"/>
          </rPr>
          <t>select sum(val)
from (
    SELECT SALES_DEALER_ID AS DEALER_ID
        , '202301' AS STD_DT
        , RO_CLOSE_CRT_CD
        , RETAIL_YEAR
        , COUNT(*) AS VAL
    FROM (
        SELECT SALES_DEALER_ID
            , VIN
            , RETAIL_YEAR
            , substring(MIN(OWN_TYPE_CD), 4) AS OWN_TYPE_CD
            , substring(MIN(RO_CLOSE_CRT_CD), 4) AS RO_CLOSE_CRT_CD
        FROM (
            SELECT SALES_DEALER_ID
                , VIN
                , RETAIL_YEAR
                , case when A.DEALER_ID = A.SALES_DEALER_ID
                       then '01_OWN'
                       else '02_OTH'
                  end AS OWN_TYPE_CD
                , CASE WHEN RO_CLOSE_CRT_CD = 'FMS'
                       THEN '01_FMS'
                       WHEN RO_CLOSE_CRT_CD = 'PSP'
                       THEN '02_PSP'
                       WHEN RO_CLOSE_CRT_CD = 'PO'
                       THEN '03_PO'
                       WHEN RO_CLOSE_CRT_CD = 'GR'
                       THEN '04_GR'
                       WHEN RO_CLOSE_CRT_CD = 'WT'
                       THEN '05_WT'
                       WHEN RO_CLOSE_CRT_CD = 'FMS_1K'
                       THEN '06_FMS_1K'
                       WHEN RO_CLOSE_CRT_CD = 'IT'
                       THEN '07_IT'
                       ELSE '09_BP'
                  END AS RO_CLOSE_CRT_CD
            FROM (
                SELECT DISTINCT C.DEALER_ID AS DEALER_ID
                    , case when D.DEALER_ID = 'SK00000'
                           then 'DT00000'
                           else D.DEALER_ID
                      end AS SALES_DEALER_ID
                    , A.VIN
                    , A.RO_CLOSE_CRT_CD
                    , TO_CHAR(E.RETAIL_SALES_DT, 'YYYY') AS RETAIL_YEAR
                FROM DMS_SVC_RO A
                    , DMS_CO_VEHIC B
                    , DMS_CO_GROUP C
                    , DMS_CO_GROUP D
                    , DMS_SALES_CONTRACT E
                WHERE A.REPAIR_TYPE_CD='1'
                AND A.RO_CLOSE_DT BETWEEN to_date('202301'::text || '01'::text, 'yyyymmdd'::text) - '11 mons'::interval AND to_date('202301' || '01'::text, 'yyyymmdd'::text) + '1 mon -1 days'::interval
                AND A.VIN=B.VIN
                AND A.VIN=E.VIN
                AND A.GROUP_ID=C.GROUP_ID
                AND B.SALES_DEALER_ID=D.GROUP_ID
                AND C.YYYYMM = '202301'
                AND D.YYYYMM = '202301'
                AND A.STAT_CD != '99'
                AND E.CONTRACT_STAT_CD = 'D4'
                AND B.LINEOFF_DT IS NOT null
                AND RETAIL_SALES_DT BETWEEN to_date('202301'::text||'01', 'YYYYMMDD'::text) - '7 years 11 mons'::interval
                                    AND to_date('202301'::text||'01', 'YYYYMMDD'::text) + '1 mon -1 days'::interval
                AND RETAIL_SALES_DT BETWEEN a.ro_close_dt - '7 years 11 mons'::interval
                                    AND a.ro_close_dt + '1 mon -1 days'::interval
            ) A
            WHERE 1=1
            AND A.SALES_DEALER_ID = 'DT00000' 
        ) a
        WHERE 1=1
        GROUP BY SALES_DEALER_ID
            , VIN
            , RETAIL_YEAR
    ) a
    WHERE 1=1
    GROUP BY 
        SALES_DEALER_ID
        , RETAIL_YEAR
        , OWN_TYPE_CD
        , RO_CLOSE_CRT_CD
) a
where 1=1
and ro_close_crt_cd in ('GR', 'PO')
and retail_year = '2021'</t>
        </r>
      </text>
    </comment>
    <comment ref="P88" authorId="0" shapeId="0" xr:uid="{20A51A8E-34ED-4B11-9573-09153A9C078D}">
      <text>
        <r>
          <rPr>
            <b/>
            <sz val="9"/>
            <color indexed="81"/>
            <rFont val="Tahoma"/>
            <family val="2"/>
          </rPr>
          <t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to_date('202301', 'YYYYMMDD') - interval '95 MONTH'
                        AND to_date('202301', 'YYYYMMDD') + INTERVAL '1 MONTH - 1 day'
    group by b.dealer_id
), active_8crt as (
    select a.dealer_id
        , coalesce(SUM(A.OWN_8CNT),0) + coalesce(SUM(A.OTHER_8CNT),0)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to_date('202301', 'YYYYMMDD') - interval '11 MONTH' AND to_date('202301',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to_date('202301', 'YYYYMMDD') - interval '95 MONTH'
                                        AND to_date('202301', 'YYYYMMDD') + INTERVAL '1 MONTH - 1 day'
--                    AND RETAIL_SALES_DT BETWEEN A.RO_CLOSE_DT - interval '95 MONTH'
--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</t>
        </r>
      </text>
    </comment>
    <comment ref="M89" authorId="0" shapeId="0" xr:uid="{EEAAD3B0-2455-4CDF-A411-146E4F9922BD}">
      <text>
        <r>
          <rPr>
            <b/>
            <sz val="9"/>
            <color indexed="81"/>
            <rFont val="Tahoma"/>
            <family val="2"/>
          </rPr>
          <t>WITH WITH_PARAM AS (
    SELECT '202301' AS YYYY_MM
        ,SUBSTR('202301', 1, 4)  AS YYYY
        ,'DT00000' AS dealer_id
    FROM DUAL
), WITH_PERIOD AS (
    SELECT TO_CHAR(ADD_MONTHS(TO_DATE(A.YYYY_MM,'YYYYMM'), -11),'YYYYMMDD')           AS SVC_START_DT
       , TO_CHAR(LAST_DAY(ADD_MONTHS(TO_DATE(A.YYYY_MM, 'YYYYMM'),0) ),'YYYYMMDD')  AS SVC_END_DT
       , TO_CHAR(ADD_MONTHS(TO_DATE(A.YYYY_MM,'YYYYMM'), -95),'YYYYMMDD')           AS DELIVERY_START_DT
       , TO_CHAR(LAST_DAY(ADD_MONTHS(TO_DATE(A.YYYY_MM, 'YYYYMM'),0) ),'YYYYMMDD')  AS DELIVERY_END_DT
       , TO_CHAR(ADD_MONTHS(TO_DATE(A.YYYY_MM, 'YYYYMM'), -95), 'YYYY')             AS START_YEAR
       , A.*
    FROM WITH_PARAM A)
, WITH_DEL_YEAR AS (
    SELECT TO_CHAR(START_YEAR+ (ROWNUM-1)) AS DELIVERY_YEAR
    FROM WITH_PERIOD
    CONNECT BY LEVEL &lt; (TO_NUMBER(YYYY)-START_YEAR)+2
), WITH_SHOP_CD AS(
    SELECT GROUP_ID DEALER_ID, GROUP_NAME DEALER_NM, DSPY_RANK AS DSPY_RANK
    FROM CO_HOLDINGS
    WHERE GROUP_TYPE = 'S'
    AND USE_YN = 'Y'
    AND GROUP_ID != 'SK00000'
    AND (GROUP_ID = 'DT00000' OR SUBSTR('DT00000',0,2) = 'TM')
)
SELECT SUM(CNT)
--SELECT DISTINCT NEW_RO_TYPE_CD
FROM (
    SELECT SALES_DEALER_ID,
        SUBSTR(OWN_CD, 5) AS OWN_CD,
        SUBSTR(NEW_RO_TYPE_CD, 5) AS NEW_RO_TYPE_CD,
        DELIVERY_YEAR,
        COUNT (VIN) AS CNT
    FROM (
        SELECT SALES_DEALER_ID,
            VIN,
            DELIVERY_YEAR,
            MIN(DECODE(SALES_DEALER_ID, SERVICE_DEALER_ID, '010.OWN', '020.OTH')) AS OWN_CD,
            MIN (NEW_RO_TYPE_CD) AS NEW_RO_TYPE_CD
        FROM (SELECT A.VIN,
                   A.DEALER_ID AS SALES_DEALER_ID,
                   A.SERVICE_DEALER_ID,
                   TO_CHAR (TO_DATE (A.DELIVERY_DT, 'YYYY-MM-DD'), 'YYYY') AS DELIVERY_YEAR,
                   CASE WHEN A.NEW_RO_TYPE_CD = 'F' AND A.RO_TYPE_CD_ORGN = 'F'
                        THEN '021.FMS'
                        WHEN A.NEW_RO_TYPE_CD = 'F' AND A.RO_TYPE_CD_ORGN = 'Y'
                        THEN '022.PSP'
                        WHEN A.NEW_RO_TYPE_CD = 'F' AND A.RO_TYPE_CD_ORGN NOT IN ('F', 'Y')
                        THEN '023.PM_Others'
                        WHEN A.NEW_RO_TYPE_CD IN ('G', 'I', 'Y', 'P')
                        THEN '024.GR'
                        WHEN A.NEW_RO_TYPE_CD = 'W'
                        THEN '030.Warranty'
                        WHEN A.NEW_RO_TYPE_CD = '1K'
                        THEN '040.1K'
                        WHEN A.NEW_RO_TYPE_CD = 'S'
                        THEN '050.Internal'
                        ELSE '999.Total'
                   END AS NEW_RO_TYPE_CD
              FROM (SELECT (SELECT CASE WHEN UP_GROUP_ID = 'SK00000'
                                        THEN 'DT00000'
                                        ELSE HOLDING_ID
                                   END
                            FROM CO_GROUP
                            WHERE GROUP_ID = A.SHOP_CD
                            ) AS SERVICE_DEALER_ID,
                          A.*
                      FROM (SELECT A.*,
                                   CASE WHEN B.LINEOFF_DT IS NULL THEN 'Y' 
                                        ELSE 'N'
                                   END AS GRAY_YN,
                                   (SELECT CASE WHEN B.SALES_DEALER_ID = 'SK00000' 
                                                THEN 'DT00000'
                                                ELSE HOLDING_ID
                                           END
                                    FROM CO_GROUP
                                    WHERE GROUP_ID =  B.SALES_DEALER_ID ) AS DEALER_ID, 
                                   B.DELIVERY_DT,
                                   RANK () OVER (PARTITION BY A.VIN ORDER BY A.PROPO_DT DESC) AS RK
                              FROM (  SELECT A.SHOP_CD,
                                             A.PROPO_DT,
                                             A.VIN,
                                             A.CLOSE_DT,
                                             A.NEW_RO_TYPE_CD,
                                             A.RO_TYPE_CD_ORGN
                                        FROM SVC_CLOSE_TRAFFIC_LEGACY A,
                                             WITH_PERIOD P,
                                             OM_CONTRACT B
                                       WHERE 1 = 1
                                             AND A.REPAIR_TYPE_CD = '1'
                                             AND A.CLOSE_DT BETWEEN P.SVC_START_DT
                                                                AND  P.SVC_END_DT
                                            AND A.VIN IN (SELECT VIN FROM OM_CONTRACT WHERE REPLACE(SUBSTR(LAST_RETAIL_SALES_DT,1,10),'-' ,'') 
                                                                     BETWEEN TO_CHAR(ADD_MONTHS(TO_DATE(A.CLOSE_YYYYMM||'01'),-95),'YYYYMMDD') 
                                                                     AND TO_CHAR (LAST_DAY (ADD_MONTHS (TO_DATE (A.CLOSE_YYYYMM, 'YYYYMM'), 0)),'YYYYMMDD'))     
                                             AND A.VIN = B.VIN
                                            AND B.CONTRACT_STAT_CD = 'D4'
                                            AND REPLACE ( SUBSTR ( LAST_RETAIL_SALES_DT, 1, 10), '-','') BETWEEN P.DELIVERY_START_DT AND P.DELIVERY_END_DT  
                                    GROUP BY A.SHOP_CD,
                                             A.PROPO_DT,
                                             A.VIN,
                                             A.CLOSE_DT,
                                             A.RO_TYPE_CD_ORGN,
                                             A.NEW_RO_TYPE_CD) A,
                                   CO_VEHIC B,
                                   VS_VARIANT V
                             WHERE 1 = 1
                               AND A.VIN = B.VIN
                               AND B.VARIANT_CD = V.VARIANT_CD(+)
                     ) A,
                         WITH_SHOP_CD S
                     WHERE     1 = 1
                     AND A.GRAY_YN = 'N'
                     AND A.DEALER_ID = S.DEALER_ID
                       --    and A.RK =1 
                           ) A)
          GROUP BY SALES_DEALER_ID, VIN, DELIVERY_YEAR)
    GROUP BY SALES_DEALER_ID,
        OWN_CD,
        NEW_RO_TYPE_CD,
        DELIVERY_YEAR
)
WHERE 1=1
AND NEW_RO_TYPE_CD IN ('Warranty')
AND DELIVERY_YEAR = '2021'</t>
        </r>
      </text>
    </comment>
    <comment ref="N89" authorId="0" shapeId="0" xr:uid="{B26283BF-0853-44E5-B291-903E3D54DEA8}">
      <text>
        <r>
          <rPr>
            <b/>
            <sz val="9"/>
            <color indexed="81"/>
            <rFont val="Tahoma"/>
            <family val="2"/>
          </rPr>
          <t>SELECT  NVL(SUM(A.OWN_8CNT),0) + NVL(SUM(A.OTHER_8CNT),0) AS Active_Cust
FROM    (
        SELECT  A.SALES_HID
                , A.VIN
                , MAX(A.OWN_8CNT) OWN_8CNT
                , DECODE(MAX(A.OWN_8CNT),0,MAX(A.OTHER_8CNT),0) OTHER_8CNT
        FROM    (    
                SELECT  A.SALES_HID, A.VIN
                        , CASE WHEN A.SERVICE_HID=A.SALES_HID THEN 1 ELSE 0 END AS OWN_8CNT
                        , CASE WHEN A.SERVICE_HID!=A.SALES_HID THEN 1 ELSE 0 END AS OTHER_8CNT
                FROM    (    
                        SELECT  DISTINCT C.HOLDING_ID AS SERVICE_HID, DECODE(D.HOLDING_ID,'SK00000','DT00000',D.HOLDING_ID) AS SALES_HID, A.VIN, A.CLOSE_YYYYMM, E.LAST_RETAIL_SALES_DT
                        FROM    SVC_CLOSE_TRAFFIC_LEGACY A
                                , CO_VEHIC B
                                , CO_GROUP C
                                , CO_GROUP D
                                , OM_CONTRACT E
                        WHERE   A.REPAIR_TYPE_CD='1'
                        AND     A.CLOSE_DT BETWEEN TO_CHAR(ADD_MONTHS(TRUNC(TO_DATE('202301','YYYYMM'),'MONTH'),-11),'YYYYMMDD') AND TO_CHAR(LAST_DAY(TO_DATE('202301','YYYYMM')),'YYYYMMDD')
                        AND     A.VIN=B.VIN
                        AND     A.VIN=E.VIN
                        AND     A.SHOP_CD=C.GROUP_ID
                        AND     B.SALES_DEALER_ID=D.GROUP_ID
                        AND     B.LINEOFF_DT IS NOT NULL
                        AND     TO_CHAR(TO_DATE(LAST_RETAIL_SALES_DT, 'YYYY-MM-DD HH24:MI:SS'), 'YYYYMMDD') BETWEEN TO_CHAR(ADD_MONTHS(TO_DATE('202301' , 'YYYYMM'), -95), 'YYYYMMDD')
                        AND     LAST_DAY(TO_CHAR(ADD_MONTHS(TO_DATE('202301' , 'YYYYMM'), 0), 'YYYYMMDD'))
                        AND     TO_CHAR(TO_DATE(LAST_RETAIL_SALES_DT, 'YYYY-MM-DD HH24:MI:SS'), 'YYYYMMDD') BETWEEN TO_CHAR(ADD_MONTHS(TO_DATE('202301', 'YYYYMM'), -95), 'YYYYMMDD')
                        AND     LAST_DAY(TO_CHAR(ADD_MONTHS(TO_DATE(A.CLOSE_YYYYMM, 'YYYYMM'), 0), 'YYYYMMDD'))
                        ) A
                  WHERE     A.SALES_HID='DT00000'  
                ) A                
        GROUP BY A.SALES_HID, A.VIN
        ) A
WHERE   1=1</t>
        </r>
      </text>
    </comment>
    <comment ref="O89" authorId="0" shapeId="0" xr:uid="{8AD791FE-1F64-4BCB-AE55-A1E88E17DFB5}">
      <text>
        <r>
          <rPr>
            <b/>
            <sz val="9"/>
            <color indexed="81"/>
            <rFont val="Tahoma"/>
            <family val="2"/>
          </rPr>
          <t>select sum(val)
from (
    SELECT SALES_DEALER_ID AS DEALER_ID
        , '202301' AS STD_DT
        , RO_CLOSE_CRT_CD
        , RETAIL_YEAR
        , COUNT(*) AS VAL
    FROM (
        SELECT SALES_DEALER_ID
            , VIN
            , RETAIL_YEAR
            , substring(MIN(OWN_TYPE_CD), 4) AS OWN_TYPE_CD
            , substring(MIN(RO_CLOSE_CRT_CD), 4) AS RO_CLOSE_CRT_CD
        FROM (
            SELECT SALES_DEALER_ID
                , VIN
                , RETAIL_YEAR
                , case when A.DEALER_ID = A.SALES_DEALER_ID
                       then '01_OWN'
                       else '02_OTH'
                  end AS OWN_TYPE_CD
                , CASE WHEN RO_CLOSE_CRT_CD = 'FMS'
                       THEN '01_FMS'
                       WHEN RO_CLOSE_CRT_CD = 'PSP'
                       THEN '02_PSP'
                       WHEN RO_CLOSE_CRT_CD = 'PO'
                       THEN '03_PO'
                       WHEN RO_CLOSE_CRT_CD = 'GR'
                       THEN '04_GR'
                       WHEN RO_CLOSE_CRT_CD = 'WT'
                       THEN '05_WT'
                       WHEN RO_CLOSE_CRT_CD = 'FMS_1K'
                       THEN '06_FMS_1K'
                       WHEN RO_CLOSE_CRT_CD = 'IT'
                       THEN '07_IT'
                       ELSE '09_BP'
                  END AS RO_CLOSE_CRT_CD
            FROM (
                SELECT DISTINCT C.DEALER_ID AS DEALER_ID
                    , case when D.DEALER_ID = 'SK00000'
                           then 'DT00000'
                           else D.DEALER_ID
                      end AS SALES_DEALER_ID
                    , A.VIN
                    , A.RO_CLOSE_CRT_CD
                    , TO_CHAR(E.RETAIL_SALES_DT, 'YYYY') AS RETAIL_YEAR
                FROM DMS_SVC_RO A
                    , DMS_CO_VEHIC B
                    , DMS_CO_GROUP C
                    , DMS_CO_GROUP D
                    , DMS_SALES_CONTRACT E
                WHERE A.REPAIR_TYPE_CD='1'
                AND A.RO_CLOSE_DT BETWEEN to_date('202301'::text || '01'::text, 'yyyymmdd'::text) - '11 mons'::interval AND to_date('202301' || '01'::text, 'yyyymmdd'::text) + '1 mon -1 days'::interval
                AND A.VIN=B.VIN
                AND A.VIN=E.VIN
                AND A.GROUP_ID=C.GROUP_ID
                AND B.SALES_DEALER_ID=D.GROUP_ID
                AND C.YYYYMM = '202301'
                AND D.YYYYMM = '202301'
                AND A.STAT_CD != '99'
                AND E.CONTRACT_STAT_CD = 'D4'
                AND B.LINEOFF_DT IS NOT null
                AND RETAIL_SALES_DT BETWEEN to_date('202301'::text||'01', 'YYYYMMDD'::text) - '7 years 11 mons'::interval
                                    AND to_date('202301'::text||'01', 'YYYYMMDD'::text) + '1 mon -1 days'::interval
--                AND RETAIL_SALES_DT BETWEEN a.ro_close_dt - '7 years 11 mons'::interval
--                                    AND a.ro_close_dt + '1 mon -1 days'::interval
            ) A
            WHERE 1=1
            AND A.SALES_DEALER_ID = 'DT00000' 
        ) a
        WHERE 1=1
        GROUP BY SALES_DEALER_ID
            , VIN
            , RETAIL_YEAR
    ) a
    WHERE 1=1
    GROUP BY 
        SALES_DEALER_ID
        , RETAIL_YEAR
        , OWN_TYPE_CD
        , RO_CLOSE_CRT_CD
) a
where 1=1
and ro_close_crt_cd in ('WT')
and retail_year = '2021'</t>
        </r>
      </text>
    </comment>
    <comment ref="P89" authorId="0" shapeId="0" xr:uid="{AB430820-7F75-4DD6-A78E-31D3AF4589C0}">
      <text>
        <r>
          <rPr>
            <b/>
            <sz val="9"/>
            <color indexed="81"/>
            <rFont val="Tahoma"/>
            <family val="2"/>
          </rPr>
          <t>with uio as (
    select b.dealer_id
        , count(*) as amt
    from dms_sales_contract A
        , dms_co_group_v B
    where 1=1 
    and a.group_id = b.group_id
    and a.dms_brand_cd = b.dms_brand_cd
    and a.contract_stat_cd = 'D4'
    and b.dealer_id='DT00000'
    and retail_sales_dt BETWEEN to_date('202301', 'YYYYMMDD') - interval '95 MONTH'
                        AND to_date('202301', 'YYYYMMDD') + INTERVAL '1 MONTH - 1 day'
    group by b.dealer_id
), active_8crt as (
    select a.dealer_id
        , coalesce(SUM(A.OWN_8CNT),0) + coalesce(SUM(A.OTHER_8CNT),0) amt
    FROM (
        SELECT  A.SALES_DEALER_ID as dealer_id
            , A.VIN
            , MAX(A.OWN_8CNT) OWN_8CNT
            , case when max(a.own_8cnt) = 0
                   then MAX(A.OTHER_8CNT)
                   else 0
              end as OTHER_8CNT
            FROM (    
                SELECT A.SALES_DEALER_ID, A.VIN
                    , CASE WHEN A.DEALER_ID=A.SALES_DEALER_ID THEN 1 ELSE 0 END AS OWN_8CNT
                    , CASE WHEN A.DEALER_ID!=A.SALES_DEALER_ID THEN 1 ELSE 0 END AS OTHER_8CNT
                FROM (    
                    SELECT DISTINCT C.DEALER_ID AS DEALER_ID 
                        , case when D.DEALER_ID = 'SK00000'
                               then 'DT00000'
                               else D.DEALER_ID
                          end as  SALES_DEALER_ID
                        , A.VIN, A.RO_CLOSE_DT, E.RETAIL_SALES_DT
                    FROM DMS_SVC_RO A
                        , DMS_CO_VEHIC B
                        , dms_co_group_v C
                        , dms_co_group_v D
                        , DMS_SALES_CONTRACT E
                    WHERE A.REPAIR_TYPE_CD='1'
                    AND A.RO_CLOSE_DT BETWEEN to_date('202301', 'YYYYMMDD') - interval '11 MONTH' AND to_date('202301', 'YYYYMMDD') + INTERVAL '1 MONTH - 1 day'
                    AND A.VIN=B.VIN
                    AND A.VIN=E.VIN
                    AND A.GROUP_ID=C.GROUP_ID
                    AND B.SALES_DEALER_ID=D.GROUP_ID
                    AND B.LINEOFF_DT IS NOT NULL
                    and a.stat_cd != '99'
                    AND RETAIL_SALES_DT BETWEEN to_date('202301', 'YYYYMMDD') - interval '95 MONTH'
                                        AND to_date('202301', 'YYYYMMDD') + INTERVAL '1 MONTH - 1 day'
--                    AND RETAIL_SALES_DT BETWEEN A.RO_CLOSE_DT - interval '95 MONTH'
--                                        AND A.RO_CLOSE_DT + INTERVAL '1 MONTH - 1 day'
                ) A
                WHERE A.SALES_DEALER_ID='DT00000'
            ) A                
            WHERE 1=1
        GROUP BY A.SALES_DEALER_ID, A.VIN
    ) A
    WHERE 1=1
    group by dealer_id
)
select a.dealer_id
    , a.amt as uio
    , b.amt as active_cust
    , trunc((b.amt::numeric / a.amt::numeric) * 100, 2) as amt
from uio a
    left outer join active_8crt b
    on 1=1
    and a.dealer_id = b.dealer_id
where 1=1
and a.dealer_id = b.dealer_id</t>
        </r>
      </text>
    </comment>
    <comment ref="M90" authorId="0" shapeId="0" xr:uid="{9253D084-FB03-45F4-8A45-CF5F2759CA8A}">
      <text>
        <r>
          <rPr>
            <b/>
            <sz val="9"/>
            <color indexed="81"/>
            <rFont val="Tahoma"/>
            <family val="2"/>
          </rPr>
          <t>SELECT COUNT(*)
FROM OM_CONTRACT A
    , CO_GROUP B
WHERE 1=1
AND A.DEALER_ID=B.GROUP_ID
AND A.CONTRACT_STAT_CD='D4'
AND B.HOLDING_ID = 'DT00000'  
AND TO_CHAR(TO_DATE(LAST_RETAIL_SALES_DT, 'YYYY-MM-DD HH24:MI:SS'), 'YYYYMMDD') BETWEEN TO_CHAR(ADD_MONTHS(TO_DATE('202301' , 'YYYYMM'), -95), 'YYYYMMDD')
                                                                                AND     LAST_DAY(TO_CHAR(ADD_MONTHS(TO_DATE('202301' , 'YYYYMM'), 0), 'YYYYMMDD'))
AND SUBSTR(REPLACE(LAST_RETAIL_SALES_DT, '-', ''), 0, 4) = '2021'</t>
        </r>
      </text>
    </comment>
    <comment ref="O90" authorId="0" shapeId="0" xr:uid="{11C2643A-AA1D-4745-8115-72E9A56DCAAA}">
      <text>
        <r>
          <rPr>
            <b/>
            <sz val="9"/>
            <color indexed="81"/>
            <rFont val="Tahoma"/>
            <family val="2"/>
          </rPr>
          <t>select a.dealer_id
    , count(*) as amt
from dms_sales_contract a
where 1=1 
and a.contract_stat_cd = 'D4'
and a.dealer_id='DT00000'
and retail_sales_dt BETWEEN to_date('202301', 'YYYYMMDD') - interval '95 MONTH'
                    AND to_date('202301', 'YYYYMMDD') + INTERVAL '1 MONTH - 1 day'
and to_char(retail_sales_dt, 'yyyy') = '2021'
group by a.dealer_id</t>
        </r>
      </text>
    </comment>
    <comment ref="M91" authorId="0" shapeId="0" xr:uid="{D646991F-7554-41A2-8BA4-AB0EACC877F2}">
      <text>
        <r>
          <rPr>
            <b/>
            <sz val="9"/>
            <color indexed="81"/>
            <rFont val="Tahoma"/>
            <family val="2"/>
          </rPr>
          <t>SELECT SUM(FP) + SUM(PO) + SUM(GR) + SUM(WT) + SUM(IT)
FROM SVC_DAILY_UNIT_REPORT A
    , CO_GROUP B
WHERE 1=1
AND A.SHOP_CD = B.GROUP_ID
AND B.HOLDING_ID = 'DT00000'
AND STD_dT LIKE '20230131'</t>
        </r>
      </text>
    </comment>
    <comment ref="O91" authorId="0" shapeId="0" xr:uid="{5F410204-88AB-4020-A292-C701C9850E26}">
      <text>
        <r>
          <rPr>
            <b/>
            <sz val="9"/>
            <color indexed="81"/>
            <rFont val="Tahoma"/>
            <family val="2"/>
          </rPr>
          <t>SELECT a.dealer_id
    , count(*)
FROM dms_svc_ro a
WHERE 1=1
AND a.dealer_id = 'DT00000'
and a.repair_type_cd = '1'
AND a.propo_dt between '20230101' and '20230131'
AND ((a.ro_close_type_cd != 'BP' and a.ro_close_type_cd = 'FMS')
     or (a.ro_close_type_cd != 'BP' and a.ro_close_type_cd = 'PSP')
     or (a.ro_close_type_cd != 'BP' and a.ro_close_type_cd = 'GR')
     or (a.ro_close_type_cd != 'BP' and a.ro_close_type_cd = 'FMS_1K')
     or (a.ro_close_type_cd != 'BP' and a.ro_close_type_cd = 'PO')
     or (a.ro_close_type_cd != 'BP' and a.ro_close_type_cd = 'WT')
     or (a.ro_close_type_cd != 'BP' and a.ro_close_type_cd = 'IT')
     )
and a.stat_cd != '99'
group by a.dealer_id</t>
        </r>
      </text>
    </comment>
    <comment ref="O93" authorId="0" shapeId="0" xr:uid="{C4067AE6-8A75-4624-9CDC-8093962E4ADB}">
      <text>
        <r>
          <rPr>
            <b/>
            <sz val="9"/>
            <color indexed="81"/>
            <rFont val="Tahoma"/>
            <family val="2"/>
          </rPr>
          <t>select sum(svc_kpi_code_amt) / count(*)
from dms_svc_kpi_resource
where 1=1
and yyyymm = '202301'
and dealer_id = 'DT00000'
and svc_kpi_code = 'SVC_GR_RESV_AICC_WEEKDAY_AVG'</t>
        </r>
      </text>
    </comment>
    <comment ref="O94" authorId="0" shapeId="0" xr:uid="{984F7EB5-0AEC-4980-913E-F3E153736AD2}">
      <text>
        <r>
          <rPr>
            <b/>
            <sz val="9"/>
            <color indexed="81"/>
            <rFont val="Tahoma"/>
            <family val="2"/>
          </rPr>
          <t>select sum(svc_kpi_code_amt) / count(*)
from dms_svc_kpi_resource
where 1=1
and yyyymm = '202301'
and dealer_id = 'DT00000'
and svc_kpi_code = 'SVC_GR_RESV_AICC_WEEKEND_AVG'</t>
        </r>
      </text>
    </comment>
    <comment ref="O95" authorId="0" shapeId="0" xr:uid="{D8B0C188-BD2E-4F52-A69F-87778B2A75F9}">
      <text>
        <r>
          <rPr>
            <b/>
            <sz val="9"/>
            <color indexed="81"/>
            <rFont val="Tahoma"/>
            <family val="2"/>
          </rPr>
          <t>select sum(svc_kpi_code_amt) / count(*)
from dms_svc_kpi_resource
where 1=1
and yyyymm = '202301'
and dealer_id = 'DT00000'
and svc_kpi_code = 'SVC_GR_RESV_WEEKDAY_AVG'</t>
        </r>
      </text>
    </comment>
    <comment ref="O96" authorId="0" shapeId="0" xr:uid="{B12A6623-2CED-4207-8862-411E24DD2C4F}">
      <text>
        <r>
          <rPr>
            <b/>
            <sz val="9"/>
            <color indexed="81"/>
            <rFont val="Tahoma"/>
            <family val="2"/>
          </rPr>
          <t>select sum(svc_kpi_code_amt) / count(*)
from dms_svc_kpi_resource
where 1=1
and yyyymm = '202301'
and dealer_id = 'DT00000'
and svc_kpi_code = 'SVC_GR_RESV_WEEKEND_AVG'</t>
        </r>
      </text>
    </comment>
  </commentList>
</comments>
</file>

<file path=xl/sharedStrings.xml><?xml version="1.0" encoding="utf-8"?>
<sst xmlns="http://schemas.openxmlformats.org/spreadsheetml/2006/main" count="2644" uniqueCount="928">
  <si>
    <t>Page</t>
    <phoneticPr fontId="8"/>
  </si>
  <si>
    <t>Area</t>
    <phoneticPr fontId="8"/>
  </si>
  <si>
    <t>KPI</t>
    <phoneticPr fontId="8"/>
  </si>
  <si>
    <t>Definition</t>
    <phoneticPr fontId="8"/>
  </si>
  <si>
    <t>Criteria</t>
    <phoneticPr fontId="8"/>
  </si>
  <si>
    <t>DMS source</t>
    <phoneticPr fontId="8"/>
  </si>
  <si>
    <t>Link</t>
    <phoneticPr fontId="8"/>
  </si>
  <si>
    <t>렉서스 강남 2023.01</t>
    <phoneticPr fontId="1" type="noConversion"/>
  </si>
  <si>
    <t>breakdown</t>
    <phoneticPr fontId="8"/>
  </si>
  <si>
    <t>DMS</t>
    <phoneticPr fontId="1" type="noConversion"/>
  </si>
  <si>
    <t>RDS</t>
    <phoneticPr fontId="1" type="noConversion"/>
  </si>
  <si>
    <t>DMS 값</t>
    <phoneticPr fontId="1" type="noConversion"/>
  </si>
  <si>
    <t>DMS 비교 값</t>
    <phoneticPr fontId="1" type="noConversion"/>
  </si>
  <si>
    <t>RDS 값</t>
    <phoneticPr fontId="1" type="noConversion"/>
  </si>
  <si>
    <t>RDS 비교 값</t>
    <phoneticPr fontId="1" type="noConversion"/>
  </si>
  <si>
    <t>BI 확인</t>
  </si>
  <si>
    <t>SVC TOP Main</t>
    <phoneticPr fontId="8"/>
  </si>
  <si>
    <t>CPS</t>
    <phoneticPr fontId="8"/>
  </si>
  <si>
    <t>vs Target</t>
    <phoneticPr fontId="8"/>
  </si>
  <si>
    <t>CPS / CPS Target 비율</t>
    <phoneticPr fontId="8"/>
  </si>
  <si>
    <t xml:space="preserve">CPS : DMS &gt; KPI &gt; HSIT KPI &gt; [Service Detail] 화면 Sales &gt; CPS &gt;  Actual
CPS Target : DMS &gt; KPI &gt; HSIT KPI &gt; [Service Detail] 화면 Sales &gt; CPS &gt; Plan
</t>
    <phoneticPr fontId="8"/>
  </si>
  <si>
    <t>DMS CPS
976,707,960</t>
    <phoneticPr fontId="1" type="noConversion"/>
  </si>
  <si>
    <t>DMS CPS TARGET
959,200,000</t>
    <phoneticPr fontId="1" type="noConversion"/>
  </si>
  <si>
    <t>RDS CPS
976,624,907</t>
    <phoneticPr fontId="1" type="noConversion"/>
  </si>
  <si>
    <t>RDS CPS TARGET
959,200,000</t>
  </si>
  <si>
    <t>[@_RATIO_YTD_TARGET]
O</t>
  </si>
  <si>
    <t>vs LY</t>
    <phoneticPr fontId="8"/>
  </si>
  <si>
    <t>CPS / 작년 CPS 비율</t>
    <phoneticPr fontId="8"/>
  </si>
  <si>
    <t xml:space="preserve">CPS : DMS &gt; KPI &gt; HSIT KPI &gt; [Service Detail] 화면 Sales &gt; CPS &gt;  Actual
작년 CPS : DMS &gt; KPI &gt; HSIT KPI &gt; [Service Detail] 화면 Sales &gt; CPS &gt;  Actual (작년기준)
</t>
    <phoneticPr fontId="8"/>
  </si>
  <si>
    <t>LY DMS CPS
941,860,191</t>
    <phoneticPr fontId="1" type="noConversion"/>
  </si>
  <si>
    <t>LY RDS CPS
941,860,191</t>
    <phoneticPr fontId="1" type="noConversion"/>
  </si>
  <si>
    <t>[@_RATIO_YTD_LY]
O</t>
  </si>
  <si>
    <t>CPUS</t>
    <phoneticPr fontId="8"/>
  </si>
  <si>
    <t>vs Target</t>
  </si>
  <si>
    <t>CPUS / CPUS Target 비율</t>
    <phoneticPr fontId="8"/>
  </si>
  <si>
    <t xml:space="preserve">CPUS : DMS &gt; KPI &gt; HSIT KPI &gt; [Service Detail] 화면 Entry &gt; CPUS &gt; Actual TTL
CPUS Target : DMS &gt; KPI &gt; HSIT KPI &gt; [Service Detail] 화면 Entry &gt; CPUS &gt; Plan
</t>
    <phoneticPr fontId="8"/>
  </si>
  <si>
    <t>DMS CPUS
2,998</t>
    <phoneticPr fontId="1" type="noConversion"/>
  </si>
  <si>
    <t>DMS CPUS TARGET
3,136</t>
    <phoneticPr fontId="1" type="noConversion"/>
  </si>
  <si>
    <t>RDS CPUS
2,998</t>
    <phoneticPr fontId="1" type="noConversion"/>
  </si>
  <si>
    <t>RDS CPUS TARGET
3,136</t>
    <phoneticPr fontId="1" type="noConversion"/>
  </si>
  <si>
    <t>[@_RATIO_YTD_TARGET]
O</t>
  </si>
  <si>
    <t>vs LY</t>
  </si>
  <si>
    <t>CPUS / 작년 CPUS 비율</t>
    <phoneticPr fontId="8"/>
  </si>
  <si>
    <t xml:space="preserve">CPUS : DMS &gt; KPI &gt; HSIT KPI &gt; [Service Detail] 화면 Entry &gt; CPUS &gt; Actual TTL
작년 CPUS : DMS &gt; KPI &gt; HSIT KPI &gt; [Service Detail] 화면 Entry &gt; CPUS &gt; Actual TTL (작년기준)
</t>
    <phoneticPr fontId="8"/>
  </si>
  <si>
    <t>LY DMS CPUS
3,028</t>
    <phoneticPr fontId="1" type="noConversion"/>
  </si>
  <si>
    <t>LY RDS CPUS
3,029</t>
    <phoneticPr fontId="1" type="noConversion"/>
  </si>
  <si>
    <t>[@_RATIO_YTD_LY]
O</t>
  </si>
  <si>
    <t>GS Capacity</t>
  </si>
  <si>
    <t>AICC (Appointment L/T)</t>
  </si>
  <si>
    <t xml:space="preserve">AICC 예약가능일 - 당일
</t>
    <phoneticPr fontId="8"/>
  </si>
  <si>
    <t xml:space="preserve">신규기능
</t>
    <phoneticPr fontId="1" type="noConversion"/>
  </si>
  <si>
    <t>신규기능</t>
    <phoneticPr fontId="1" type="noConversion"/>
  </si>
  <si>
    <t>AICC RESV L/T
0</t>
    <phoneticPr fontId="1" type="noConversion"/>
  </si>
  <si>
    <t>[@_LT_LM_WEEKDAYS]
O</t>
  </si>
  <si>
    <t xml:space="preserve">주말 AICC 예약가능일 - 당일
</t>
    <phoneticPr fontId="8"/>
  </si>
  <si>
    <t>[@_LT_LM_WEEKENDS]
O</t>
  </si>
  <si>
    <t>Unit/day/SA</t>
    <phoneticPr fontId="8"/>
  </si>
  <si>
    <t xml:space="preserve">CPUS / Working day / SA </t>
    <phoneticPr fontId="8"/>
  </si>
  <si>
    <t xml:space="preserve">Unit : DMS &gt; KPI &gt; HSIT KPI &gt; [Service Detail] 화면 Entry &gt; CPUS &gt; Actual TTL
day : DMS &gt; KPI &gt; HSIT KPI &gt; [Service Detail] 화면 Working Day
SA : Service &gt; 기준정보 &gt; KPI 기준정보 &gt; [Monthly KPI 기초정보등록(딜러)]
General &gt; Service Adviser &gt; Total
</t>
    <phoneticPr fontId="8"/>
  </si>
  <si>
    <t>DMS Working Day
22</t>
    <phoneticPr fontId="1" type="noConversion"/>
  </si>
  <si>
    <t>DMS GS SA
11</t>
    <phoneticPr fontId="1" type="noConversion"/>
  </si>
  <si>
    <t>RDS Working Day
22</t>
    <phoneticPr fontId="1" type="noConversion"/>
  </si>
  <si>
    <t>RDS GS SA
11</t>
    <phoneticPr fontId="1" type="noConversion"/>
  </si>
  <si>
    <t>[#_GS_SA]
O</t>
  </si>
  <si>
    <t>Unit/day/Tech</t>
    <phoneticPr fontId="8"/>
  </si>
  <si>
    <t>CPUS / Working day / Tech</t>
    <phoneticPr fontId="8"/>
  </si>
  <si>
    <r>
      <t xml:space="preserve">Unit : DMS &gt; KPI &gt; HSIT KPI &gt; [Service Detail] 화면 Entry &gt; CPUS &gt; Actual TTL
day : DMS &gt; KPI &gt; HSIT KPI &gt; [Service Detail] 화면 Working Day
</t>
    </r>
    <r>
      <rPr>
        <b/>
        <sz val="11"/>
        <color rgb="FFFF0000"/>
        <rFont val="맑은 고딕"/>
        <family val="3"/>
        <charset val="129"/>
        <scheme val="major"/>
      </rPr>
      <t xml:space="preserve">Tech : Service &gt; 기준정보 &gt; KPI 기준정보 &gt; [일자별 작업시간관리]
  - 일반 테크니션 수 (NEW)
</t>
    </r>
    <phoneticPr fontId="8"/>
  </si>
  <si>
    <t>DMS GS TECH
31</t>
    <phoneticPr fontId="1" type="noConversion"/>
  </si>
  <si>
    <t>RDS GS TECH
31</t>
    <phoneticPr fontId="1" type="noConversion"/>
  </si>
  <si>
    <t>[#_GS_TECH]
O</t>
  </si>
  <si>
    <t>gs+bp 테크 총 56명 중 사용자정보 설정 문제로 인식 X</t>
  </si>
  <si>
    <t>Unit/day/Stall</t>
    <phoneticPr fontId="8"/>
  </si>
  <si>
    <t>CPUS / Working day / Stall</t>
    <phoneticPr fontId="8"/>
  </si>
  <si>
    <t xml:space="preserve">Unit : DMS &gt; KPI &gt; HSIT KPI &gt; [Service Detail] 화면 Entry &gt; CPUS &gt; Actual TTL
day : DMS &gt; KPI &gt; HSIT KPI &gt; [Service Detail] 화면 Working Day
Stall : Service &gt; 기준정보 &gt; KPI 기준정보 &gt; [Monthly KPI 기초정보등록(딜러)]
Stall &gt; GS
</t>
    <phoneticPr fontId="8"/>
  </si>
  <si>
    <t>DMS GS STALL
39</t>
    <phoneticPr fontId="1" type="noConversion"/>
  </si>
  <si>
    <t>RDS GS STALL
39</t>
    <phoneticPr fontId="1" type="noConversion"/>
  </si>
  <si>
    <t>[#_GS_STALL]
O</t>
  </si>
  <si>
    <t>BPS</t>
    <phoneticPr fontId="8"/>
  </si>
  <si>
    <t>BPS / BPS Target 비율</t>
    <phoneticPr fontId="8"/>
  </si>
  <si>
    <t xml:space="preserve">BPS : DMS &gt; KPI &gt; HSIT KPI &gt; [Service Detail] 화면 Sales &gt; BPS &gt; Total &gt; Actual
BPS Target : DMS &gt; KPI &gt; HSIT KPI &gt; [Service Detail] 화면 Sales &gt; BPS &gt; Total &gt; Plan
</t>
    <phoneticPr fontId="8"/>
  </si>
  <si>
    <t>DMS BPS
1,340,495,206</t>
    <phoneticPr fontId="1" type="noConversion"/>
  </si>
  <si>
    <t>DMS BPS TARGET
1,258,912,000</t>
    <phoneticPr fontId="1" type="noConversion"/>
  </si>
  <si>
    <t>RDS BPS
1,300,075,224</t>
    <phoneticPr fontId="1" type="noConversion"/>
  </si>
  <si>
    <t>RDS BPS TARGET
1,258,912,000</t>
    <phoneticPr fontId="1" type="noConversion"/>
  </si>
  <si>
    <t>BPS / 작년 BPS 비율</t>
    <phoneticPr fontId="8"/>
  </si>
  <si>
    <t xml:space="preserve">BPS : DMS &gt; KPI &gt; HSIT KPI &gt; [Service Detail] 화면 Sales &gt; BPS &gt; Total &gt; Actual
작년 BPS : DMS &gt; KPI &gt; HSIT KPI &gt; [Service Detail] 화면 Sales &gt; BPS &gt; Total &gt; Actual (작년기준)
</t>
    <phoneticPr fontId="8"/>
  </si>
  <si>
    <t>LP DMS BPS
1,400,910,066</t>
    <phoneticPr fontId="1" type="noConversion"/>
  </si>
  <si>
    <t>RDS BPS TARGET
1,400,910,066</t>
    <phoneticPr fontId="1" type="noConversion"/>
  </si>
  <si>
    <t>BPUS</t>
    <phoneticPr fontId="8"/>
  </si>
  <si>
    <t>BPUS / BPUS Target 비율</t>
    <phoneticPr fontId="8"/>
  </si>
  <si>
    <t xml:space="preserve">BPUS : DMS &gt; KPI &gt; HSIT KPI &gt; [Service Detail] 화면 Entry &gt; BPUS &gt; Total &gt; Actual
BPUS Target : DMS &gt; KPI &gt; HSIT KPI &gt; [Service Detail] 화면 Entry &gt; BPUS &gt; Total &gt; Plan
</t>
    <phoneticPr fontId="8"/>
  </si>
  <si>
    <t>DMS BPUS
512</t>
    <phoneticPr fontId="1" type="noConversion"/>
  </si>
  <si>
    <t>DMS BPUS TARGET
505</t>
    <phoneticPr fontId="1" type="noConversion"/>
  </si>
  <si>
    <t>RDS BPUS
509</t>
    <phoneticPr fontId="1" type="noConversion"/>
  </si>
  <si>
    <t>RDS BPUS TARGET
505</t>
    <phoneticPr fontId="1" type="noConversion"/>
  </si>
  <si>
    <t>BPUS / 작년 BPUS  비율</t>
    <phoneticPr fontId="8"/>
  </si>
  <si>
    <t xml:space="preserve">BPUS : DMS &gt; KPI &gt; HSIT KPI &gt; [Service Detail] 화면 Entry &gt; BPUS &gt; Total &gt; Actual
작년 BPUS : DMS &gt; KPI &gt; HSIT KPI &gt; [Service Detail] 화면 Entry &gt; BPUS &gt; Total &gt; Actual (작년기준)
</t>
    <phoneticPr fontId="8"/>
  </si>
  <si>
    <t>LY DMS BPUS
514</t>
    <phoneticPr fontId="1" type="noConversion"/>
  </si>
  <si>
    <t>LY RDS BPUS
511</t>
    <phoneticPr fontId="1" type="noConversion"/>
  </si>
  <si>
    <t>BP Capacity</t>
  </si>
  <si>
    <t>Unit/day/SA</t>
  </si>
  <si>
    <t xml:space="preserve">BPUS / Working day / SA </t>
    <phoneticPr fontId="8"/>
  </si>
  <si>
    <t xml:space="preserve">Unit : DMS &gt; KPI &gt; HSIT KPI &gt; [Service Detail] 화면 Entry &gt; BPUS &gt; Total &gt; Actual
day : DMS &gt; KPI &gt; HSIT KPI &gt; [Service Detail] 화면 Working Day
SA : Service &gt; 기준정보 &gt; KPI 기준정보 &gt; [Monthly KPI 기초정보등록(딜러)]
In-house Body &amp; Paint &gt; Service Adviser &gt; Total
</t>
    <phoneticPr fontId="8"/>
  </si>
  <si>
    <t>DMS BP SA
6</t>
    <phoneticPr fontId="1" type="noConversion"/>
  </si>
  <si>
    <t>RDS BP SA
6</t>
    <phoneticPr fontId="1" type="noConversion"/>
  </si>
  <si>
    <t>[#_BP_SA]
O</t>
  </si>
  <si>
    <t>Unit/day/Tech</t>
  </si>
  <si>
    <t>BPUS / Working day / Tech</t>
    <phoneticPr fontId="8"/>
  </si>
  <si>
    <r>
      <t xml:space="preserve">Unit : DMS &gt; KPI &gt; HSIT KPI &gt; [Service Detail] 화면 Entry &gt; BPUS &gt; Total &gt; Actual
day : DMS &gt; KPI &gt; HSIT KPI &gt; [Service Detail] 화면 Working Day
</t>
    </r>
    <r>
      <rPr>
        <b/>
        <sz val="11"/>
        <color rgb="FFFF0000"/>
        <rFont val="맑은 고딕"/>
        <family val="3"/>
        <charset val="129"/>
        <scheme val="major"/>
      </rPr>
      <t xml:space="preserve">Tech : Service &gt; 기준정보 &gt; KPI 기준정보 &gt; [일자별 작업시간관리]
  - BP 테크니션 수 (NEW)
</t>
    </r>
    <phoneticPr fontId="8"/>
  </si>
  <si>
    <t>DMS BP TECH
12</t>
    <phoneticPr fontId="1" type="noConversion"/>
  </si>
  <si>
    <t>RDS BP TECH
12</t>
    <phoneticPr fontId="1" type="noConversion"/>
  </si>
  <si>
    <t>[#_BP_TECH]
O</t>
  </si>
  <si>
    <t>Unit/day/Stall</t>
  </si>
  <si>
    <t>BPUS / Working day / Stall</t>
    <phoneticPr fontId="8"/>
  </si>
  <si>
    <t xml:space="preserve">Unit : DMS &gt; KPI &gt; HSIT KPI &gt; [Service Detail] 화면 Entry &gt; BPUS &gt; Total &gt; Actual
day : DMS &gt; KPI &gt; HSIT KPI &gt; [Service Detail] 화면 Working Day
Stall : Service &gt; 기준정보 &gt; KPI 기준정보 &gt; [Monthly KPI 기초정보등록(딜러)]
Stall &gt; BP
</t>
    <phoneticPr fontId="8"/>
  </si>
  <si>
    <t>DMS BP STALL
30</t>
    <phoneticPr fontId="1" type="noConversion"/>
  </si>
  <si>
    <t>RDS BP STALL
30</t>
    <phoneticPr fontId="1" type="noConversion"/>
  </si>
  <si>
    <t>[#_BP_STALL]
O</t>
  </si>
  <si>
    <t>Active CRt Status</t>
    <phoneticPr fontId="8"/>
  </si>
  <si>
    <t>Active CRt</t>
    <phoneticPr fontId="8"/>
  </si>
  <si>
    <t>1)자사출고, 2)자/타사 서비스 입고차량
   / 자사출고한지 8년 이내 차량 비율</t>
    <phoneticPr fontId="8"/>
  </si>
  <si>
    <t xml:space="preserve">Active Customer 8-year : DMS &gt; Service &gt; Monthly CR Rate Report
   - Number of Active Customer
UIO : DMS &gt; Service &gt; Monthly CR Rate Report
   - UIO
</t>
    <phoneticPr fontId="8"/>
  </si>
  <si>
    <t>DMS Active Customer
21,319</t>
    <phoneticPr fontId="1" type="noConversion"/>
  </si>
  <si>
    <t>DMS UIO
25,638</t>
    <phoneticPr fontId="1" type="noConversion"/>
  </si>
  <si>
    <t>RDS Active
21,318</t>
    <phoneticPr fontId="1" type="noConversion"/>
  </si>
  <si>
    <t>RDS UIO
25,638</t>
    <phoneticPr fontId="1" type="noConversion"/>
  </si>
  <si>
    <t>[@_RATIO_ACTIVE_CRT]
O</t>
  </si>
  <si>
    <t>Active CRt / Active CRt Target 비율</t>
    <phoneticPr fontId="8"/>
  </si>
  <si>
    <t xml:space="preserve">Active CRt Target : DMS &gt; KPI &gt; HSIT KPI &gt; [Service Detail] 화면 CSI &amp;CR &gt; Active CRtR (8-year) &gt; Plan
</t>
    <phoneticPr fontId="8"/>
  </si>
  <si>
    <t>DMS Active CRt
83.2</t>
    <phoneticPr fontId="1" type="noConversion"/>
  </si>
  <si>
    <t>DMS Active CRt TARGET
0</t>
    <phoneticPr fontId="1" type="noConversion"/>
  </si>
  <si>
    <t>RDS Active
83.2</t>
    <phoneticPr fontId="1" type="noConversion"/>
  </si>
  <si>
    <t>RDS Active CRt TARGET
0</t>
    <phoneticPr fontId="1" type="noConversion"/>
  </si>
  <si>
    <t xml:space="preserve">
[@_RATIO_ACTIVE_CRT_TARGET]
O</t>
  </si>
  <si>
    <t>Active CRt / 작년 Active CRt 비율</t>
    <phoneticPr fontId="8"/>
  </si>
  <si>
    <t xml:space="preserve">Active Customer 8-year : DMS &gt; Service &gt; Monthly CR Rate Report
   - Number of Active Customer
UIO : DMS &gt; Service &gt; Monthly CR Rate Report
   - UIO
작년 Active Customer 8-year : DMS &gt; Service &gt; Monthly CR Rate Report
   - 작년 Number of Active Customer
작년 UIO : DMS &gt; Service &gt; Monthly CR Rate Report
   - 작년 UIO
</t>
    <phoneticPr fontId="8"/>
  </si>
  <si>
    <t>LY DMS Active Customer
21,554</t>
    <phoneticPr fontId="1" type="noConversion"/>
  </si>
  <si>
    <t>LY DMS UIO
25,547</t>
    <phoneticPr fontId="1" type="noConversion"/>
  </si>
  <si>
    <t>RDS Active
21,554</t>
    <phoneticPr fontId="1" type="noConversion"/>
  </si>
  <si>
    <t>RDS UIO
25,547</t>
    <phoneticPr fontId="1" type="noConversion"/>
  </si>
  <si>
    <t xml:space="preserve">
[@_RATIO_ACTIVE_CRT_LY]
O</t>
  </si>
  <si>
    <t>SVC DLR by DLR
&amp; SVC Type</t>
    <phoneticPr fontId="8"/>
  </si>
  <si>
    <t>SVC Sales &amp; Entry</t>
    <phoneticPr fontId="8"/>
  </si>
  <si>
    <t xml:space="preserve">CPS : DMS &gt; KPI &gt; HSIT KPI &gt; [Service Detail] 화면 Sales &gt; CPS &gt;  Actual
</t>
    <phoneticPr fontId="8"/>
  </si>
  <si>
    <t>-</t>
    <phoneticPr fontId="1" type="noConversion"/>
  </si>
  <si>
    <t xml:space="preserve"> </t>
    <phoneticPr fontId="8"/>
  </si>
  <si>
    <t xml:space="preserve">CPUS : DMS &gt; KPI &gt; HSIT KPI &gt; [Service Detail] 화면 Entry &gt; CPUS &gt; Actual TTL
</t>
    <phoneticPr fontId="8"/>
  </si>
  <si>
    <t>Unit Price</t>
    <phoneticPr fontId="8"/>
  </si>
  <si>
    <t>CPS / CPUS</t>
    <phoneticPr fontId="8"/>
  </si>
  <si>
    <t xml:space="preserve">CPS : DMS &gt; KPI &gt; HSIT KPI &gt; [Service Detail] 화면 Sales &gt; CPS &gt;  Actual
CPUS : DMS &gt; KPI &gt; HSIT KPI &gt; [Service Detail] 화면 Entry &gt; CPUS &gt; Actual TTL
</t>
    <phoneticPr fontId="8"/>
  </si>
  <si>
    <t>[@_GS_Unit_Price(1K)]
O</t>
  </si>
  <si>
    <t xml:space="preserve">BPS : DMS &gt; KPI &gt; HSIT KPI &gt; [Service Detail] 화면 Sales &gt; BPS &gt; Total &gt; Actual
</t>
    <phoneticPr fontId="8"/>
  </si>
  <si>
    <t xml:space="preserve">BPUS : DMS &gt; KPI &gt; HSIT KPI &gt; [Service Detail] 화면 Entry &gt; BPUS &gt; Total &gt; Actual
</t>
    <phoneticPr fontId="8"/>
  </si>
  <si>
    <t>BPS / BPUS</t>
    <phoneticPr fontId="8"/>
  </si>
  <si>
    <t xml:space="preserve">BPS : DMS &gt; KPI &gt; HSIT KPI &gt; [Service Detail] 화면 Sales &gt; BPS &gt; Total &gt; Actual
BPUS : DMS &gt; KPI &gt; HSIT KPI &gt; [Service Detail] 화면 Entry &gt; BPUS &gt; Total &gt; Actual
</t>
    <phoneticPr fontId="8"/>
  </si>
  <si>
    <t>[@_BP_Unit_Price(1K)]
O</t>
  </si>
  <si>
    <t>SVC Type Detail</t>
    <phoneticPr fontId="8"/>
  </si>
  <si>
    <t>FMS Unit</t>
    <phoneticPr fontId="8"/>
  </si>
  <si>
    <t>FMS+1M</t>
    <phoneticPr fontId="8"/>
  </si>
  <si>
    <t xml:space="preserve">FMS : DMS &gt; KPI &gt; HSIT KPI &gt; [Service Detail] 화면 Entry &gt; SVC TYPE &gt; FMS+1M
</t>
    <phoneticPr fontId="8"/>
  </si>
  <si>
    <t>DMS FMS
1,332</t>
    <phoneticPr fontId="1" type="noConversion"/>
  </si>
  <si>
    <t>RDS FMS
1,332</t>
    <phoneticPr fontId="1" type="noConversion"/>
  </si>
  <si>
    <t>[@_DLR_VALUE_YTD]
O</t>
  </si>
  <si>
    <t>FMS+1M / 작년 FMS+1M 비율</t>
    <phoneticPr fontId="8"/>
  </si>
  <si>
    <t>FMS : DMS &gt; KPI &gt; HSIT KPI &gt; [Service Detail] 화면 Entry &gt; SVC TYPE &gt; FMS+1M
작년 FMS : DMS &gt; KPI &gt; HSIT KPI &gt; [Service Detail] 화면 Entry &gt; SVC TYPE &gt; FMS+1M (작년기준)</t>
    <phoneticPr fontId="8"/>
  </si>
  <si>
    <t>DMS FMS
1,348</t>
    <phoneticPr fontId="1" type="noConversion"/>
  </si>
  <si>
    <t>RDS FMS
1,348</t>
    <phoneticPr fontId="1" type="noConversion"/>
  </si>
  <si>
    <t>[@_DLR_VALUE_YTD_LY]
O</t>
  </si>
  <si>
    <t>PSP Unit</t>
    <phoneticPr fontId="8"/>
  </si>
  <si>
    <t>PSP</t>
    <phoneticPr fontId="8"/>
  </si>
  <si>
    <t xml:space="preserve">PSP : DMS &gt; KPI &gt; HSIT KPI &gt; [Service Detail] 화면 Entry &gt; SVC TYPE &gt;PSP 
</t>
    <phoneticPr fontId="8"/>
  </si>
  <si>
    <t>DMS PSP
705</t>
    <phoneticPr fontId="1" type="noConversion"/>
  </si>
  <si>
    <t>RDS PSP
705</t>
    <phoneticPr fontId="1" type="noConversion"/>
  </si>
  <si>
    <t>PSP / 작년 PSP 비율</t>
    <phoneticPr fontId="8"/>
  </si>
  <si>
    <t>PSP : DMS &gt; KPI &gt; HSIT KPI &gt; [Service Detail] 화면 Entry &gt; SVC TYPE &gt;PSP 
작년 PSP : DMS &gt; KPI &gt; HSIT KPI &gt; [Service Detail] 화면 Entry &gt; SVC TYPE &gt;PSP  (작년기준)</t>
    <phoneticPr fontId="8"/>
  </si>
  <si>
    <t>DMS PSP
562</t>
    <phoneticPr fontId="1" type="noConversion"/>
  </si>
  <si>
    <t>RDS PSP
562</t>
    <phoneticPr fontId="1" type="noConversion"/>
  </si>
  <si>
    <t>GR Unit</t>
    <phoneticPr fontId="8"/>
  </si>
  <si>
    <t>GR+PM Others</t>
    <phoneticPr fontId="8"/>
  </si>
  <si>
    <t xml:space="preserve">GR : DMS &gt; KPI &gt; HSIT KPI &gt; [Service Detail] 화면 Entry &gt; SVC TYPE &gt;GR+PM Others
</t>
    <phoneticPr fontId="8"/>
  </si>
  <si>
    <t>DMS GR
961</t>
    <phoneticPr fontId="1" type="noConversion"/>
  </si>
  <si>
    <t>RDS GR
961</t>
    <phoneticPr fontId="1" type="noConversion"/>
  </si>
  <si>
    <t>GR+PM Others / 작년 GR+PM Others 비율</t>
    <phoneticPr fontId="8"/>
  </si>
  <si>
    <t xml:space="preserve">GR : DMS &gt; KPI &gt; HSIT KPI &gt; [Service Detail] 화면 Entry &gt; SVC TYPE &gt;GR+PM Others
작년 GR : DMS &gt; KPI &gt; HSIT KPI &gt; [Service Detail] 화면 Entry &gt; SVC TYPE &gt;GR+PM Others (작년기준)
</t>
    <phoneticPr fontId="8"/>
  </si>
  <si>
    <t>DMS GR
1,119</t>
    <phoneticPr fontId="1" type="noConversion"/>
  </si>
  <si>
    <t>RDS GR
1,119</t>
    <phoneticPr fontId="1" type="noConversion"/>
  </si>
  <si>
    <t>FMS Sales</t>
    <phoneticPr fontId="8"/>
  </si>
  <si>
    <t>FMS 매출</t>
    <phoneticPr fontId="1" type="noConversion"/>
  </si>
  <si>
    <t xml:space="preserve">GR : DMS &gt; KPI &gt; HSIT KPI &gt; [Service Detail] 화면 Sales &gt; SVC Type &gt; FMS+1M
</t>
    <phoneticPr fontId="1" type="noConversion"/>
  </si>
  <si>
    <t>DMS FMS
89,788,750</t>
    <phoneticPr fontId="1" type="noConversion"/>
  </si>
  <si>
    <t>RDS FMS
89,788,750</t>
    <phoneticPr fontId="1" type="noConversion"/>
  </si>
  <si>
    <t>FMS+1M / 작년 FMS+1M 매출 비율</t>
    <phoneticPr fontId="8"/>
  </si>
  <si>
    <t xml:space="preserve">GR : DMS &gt; KPI &gt; HSIT KPI &gt; [Service Detail] 화면 Sales &gt; SVC Type &gt; FMS+1M
작년 GR : DMS &gt; KPI &gt; HSIT KPI &gt; [Service Detail] 화면 Sales &gt; SVC Type &gt; FMS+1M (작년기준)
</t>
    <phoneticPr fontId="1" type="noConversion"/>
  </si>
  <si>
    <t>DMS FMS
88,583,412</t>
    <phoneticPr fontId="1" type="noConversion"/>
  </si>
  <si>
    <t>RDS FMS
88,583,412</t>
    <phoneticPr fontId="1" type="noConversion"/>
  </si>
  <si>
    <t>PSP Sales</t>
    <phoneticPr fontId="8"/>
  </si>
  <si>
    <t>PSP 매출</t>
    <phoneticPr fontId="1" type="noConversion"/>
  </si>
  <si>
    <t xml:space="preserve">PSP : DMS &gt; KPI &gt; HSIT KPI &gt; [Service Detail] 화면 Sales &gt; SVC Type &gt; PSP
</t>
    <phoneticPr fontId="1" type="noConversion"/>
  </si>
  <si>
    <t>DMS PSP
122,594,400</t>
    <phoneticPr fontId="1" type="noConversion"/>
  </si>
  <si>
    <t>RDS PSP
122,594,400</t>
    <phoneticPr fontId="1" type="noConversion"/>
  </si>
  <si>
    <t>PSP / 작년 PSP 매출 비율</t>
    <phoneticPr fontId="1" type="noConversion"/>
  </si>
  <si>
    <t xml:space="preserve">PSP : DMS &gt; KPI &gt; HSIT KPI &gt; [Service Detail] 화면 Sales &gt; SVC Type &gt; PSP
작년 PSP : DMS &gt; KPI &gt; HSIT KPI &gt; [Service Detail] 화면 Sales &gt; SVC Type &gt; PSP (작년기준)
</t>
    <phoneticPr fontId="1" type="noConversion"/>
  </si>
  <si>
    <t>DMS PSP
89,418,300</t>
    <phoneticPr fontId="1" type="noConversion"/>
  </si>
  <si>
    <t>RDS PSP
89,418,300</t>
    <phoneticPr fontId="1" type="noConversion"/>
  </si>
  <si>
    <t>GR Sales</t>
    <phoneticPr fontId="8"/>
  </si>
  <si>
    <t>GR 매출</t>
    <phoneticPr fontId="1" type="noConversion"/>
  </si>
  <si>
    <t xml:space="preserve">GR : DMS &gt; KPI &gt; HSIT KPI &gt; [Service Detail] 화면 Sales &gt; SVC Type &gt; GR+PM
</t>
    <phoneticPr fontId="1" type="noConversion"/>
  </si>
  <si>
    <t>DMS GR
726,046,186</t>
    <phoneticPr fontId="1" type="noConversion"/>
  </si>
  <si>
    <t>RDS GR
764,241,757</t>
    <phoneticPr fontId="1" type="noConversion"/>
  </si>
  <si>
    <t>RDS 보험 매출 차이
보험매출 포함할지?</t>
    <phoneticPr fontId="1" type="noConversion"/>
  </si>
  <si>
    <t>GR+PM Others / 작년 GR+PM Others 매출 비율</t>
    <phoneticPr fontId="8"/>
  </si>
  <si>
    <t xml:space="preserve">GR : DMS &gt; KPI &gt; HSIT KPI &gt; [Service Detail] 화면 Sales &gt; SVC Type &gt; GR+PM
작년 GR : DMS &gt; KPI &gt; HSIT KPI &gt; [Service Detail] 화면 Sales &gt; SVC Type &gt; GR+PM (작년기준)
</t>
    <phoneticPr fontId="1" type="noConversion"/>
  </si>
  <si>
    <t>,</t>
    <phoneticPr fontId="1" type="noConversion"/>
  </si>
  <si>
    <t>DMS GR
722,375,153</t>
    <phoneticPr fontId="1" type="noConversion"/>
  </si>
  <si>
    <t>RDS GR
763,858,479</t>
    <phoneticPr fontId="1" type="noConversion"/>
  </si>
  <si>
    <t>(CPS / CPUS) / (CPS Target / CPUS Target) 비율</t>
    <phoneticPr fontId="8"/>
  </si>
  <si>
    <t xml:space="preserve">CPS : DMS &gt; KPI &gt; HSIT KPI &gt; [Service Detail] 화면 Sales &gt; CPS &gt;  Actual
CPUS : DMS &gt; KPI &gt; HSIT KPI &gt; [Service Detail] 화면 Entry &gt; CPUS &gt; Actual TTL
CPS Target : DMS &gt; KPI &gt; HSIT KPI &gt; [Service Detail] 화면 Sales &gt; CPS &gt; Plan
CPUS Target : DMS &gt; KPI &gt; HSIT KPI &gt; [Service Detail] 화면 Entry &gt; CPUS &gt; Plan
</t>
    <phoneticPr fontId="8"/>
  </si>
  <si>
    <t>(CPS / CPUS) / 작년 (CPS / CPUS) 비율</t>
    <phoneticPr fontId="8"/>
  </si>
  <si>
    <t xml:space="preserve">CPS : DMS &gt; KPI &gt; HSIT KPI &gt; [Service Detail] 화면 Sales &gt; CPS &gt;  Actual
CPUS : DMS &gt; KPI &gt; HSIT KPI &gt; [Service Detail] 화면 Entry &gt; CPUS &gt; Actual TTL
CPS : DMS &gt; KPI &gt; HSIT KPI &gt; [Service Detail] 화면 Sales &gt; CPS &gt;  Actual (작년기준)
작년 CPUS : DMS &gt; KPI &gt; HSIT KPI &gt; [Service Detail] 화면 Entry &gt; CPUS &gt; Actual TTL (작년기준)
</t>
  </si>
  <si>
    <t>Light</t>
    <phoneticPr fontId="8"/>
  </si>
  <si>
    <t>Light Unit</t>
    <phoneticPr fontId="8"/>
  </si>
  <si>
    <t xml:space="preserve">Light : DMS &gt; KPI &gt; HSIT KPI &gt; [Service Detail] 화면 &gt; Entry &gt; BPUS &gt; Light Damage &gt; Actual
</t>
    <phoneticPr fontId="8"/>
  </si>
  <si>
    <t>DMS BPUS LIGHT UNIT
165</t>
    <phoneticPr fontId="1" type="noConversion"/>
  </si>
  <si>
    <t>RDS BPUS LIGHT UNIT
320</t>
    <phoneticPr fontId="1" type="noConversion"/>
  </si>
  <si>
    <t>Light unit / 작년 Light unit 비율</t>
    <phoneticPr fontId="8"/>
  </si>
  <si>
    <t xml:space="preserve">Light : DMS &gt; KPI &gt; HSIT KPI &gt; [Service Detail] 화면 &gt; Entry &gt; BPUS &gt; Light Damage &gt; Actual
작년 Light : DMS &gt; KPI &gt; HSIT KPI &gt; [Service Detail] 화면 &gt; Entry &gt; BPUS &gt; Light Damage &gt; Actual (작년기준)
</t>
    <phoneticPr fontId="8"/>
  </si>
  <si>
    <t>LY DMS BPUS LIGHT UNIT
142</t>
    <phoneticPr fontId="1" type="noConversion"/>
  </si>
  <si>
    <t>LY RDS BPUS LIGHT UNIT
333</t>
    <phoneticPr fontId="1" type="noConversion"/>
  </si>
  <si>
    <t>[@_RATIO_DLR_YTD_LY]
O</t>
  </si>
  <si>
    <t>Medium</t>
    <phoneticPr fontId="8"/>
  </si>
  <si>
    <t>Medium unit</t>
    <phoneticPr fontId="8"/>
  </si>
  <si>
    <t xml:space="preserve">Medium : DMS &gt; KPI &gt; HSIT KPI &gt; [Service Detail] 화면 &gt; Entry &gt; BPUS &gt; Medium Damage &gt; Actual
</t>
    <phoneticPr fontId="8"/>
  </si>
  <si>
    <t>DMS BPUS MEDIUM UNIT
164</t>
    <phoneticPr fontId="1" type="noConversion"/>
  </si>
  <si>
    <t>RDS BPUS MEDIUM UNIT
142</t>
    <phoneticPr fontId="1" type="noConversion"/>
  </si>
  <si>
    <t>Medium unit / 작년 Medium unit 비율</t>
    <phoneticPr fontId="8"/>
  </si>
  <si>
    <t xml:space="preserve">Medium : DMS &gt; KPI &gt; HSIT KPI &gt; [Service Detail] 화면 &gt; Entry &gt; BPUS &gt; Medium Damage &gt; Actual
작년 Medium : DMS &gt; KPI &gt; HSIT KPI &gt; [Service Detail] 화면 &gt; Entry &gt; BPUS &gt; Medium Damage &gt; Actual (작년기준)
</t>
    <phoneticPr fontId="8"/>
  </si>
  <si>
    <t>LY DMS BPUS MEDIUM UNIT
174</t>
    <phoneticPr fontId="1" type="noConversion"/>
  </si>
  <si>
    <t>LY RDS BPUS MEDIUM UNIT
118</t>
    <phoneticPr fontId="1" type="noConversion"/>
  </si>
  <si>
    <t>Heavy</t>
    <phoneticPr fontId="8"/>
  </si>
  <si>
    <t>Heavy unit</t>
    <phoneticPr fontId="8"/>
  </si>
  <si>
    <t xml:space="preserve">Heavy : DMS &gt; KPI &gt; HSIT KPI &gt; [Service Detail] 화면 &gt; Entry &gt; BPUS &gt; Heavy Damage &gt; Actual
</t>
    <phoneticPr fontId="8"/>
  </si>
  <si>
    <t>DMS BPUS HEAVY UNIT
149</t>
    <phoneticPr fontId="1" type="noConversion"/>
  </si>
  <si>
    <t>DMS BPUS HEAVY UNIT
47</t>
    <phoneticPr fontId="1" type="noConversion"/>
  </si>
  <si>
    <t>Heavy unit / 작년 Heavy unit 비율</t>
    <phoneticPr fontId="8"/>
  </si>
  <si>
    <t xml:space="preserve">Heavy : DMS &gt; KPI &gt; HSIT KPI &gt; [Service Detail] 화면 &gt; Entry &gt; BPUS &gt; Heavy Damage &gt; Actual
작년 Heavy : DMS &gt; KPI &gt; HSIT KPI &gt; [Service Detail] 화면 &gt; Entry &gt; BPUS &gt; Heavy Damage &gt; Actual (작년기준)
</t>
    <phoneticPr fontId="8"/>
  </si>
  <si>
    <t>LY DMS BPUS HEAVY UNIT
158</t>
    <phoneticPr fontId="1" type="noConversion"/>
  </si>
  <si>
    <t>LY RDS BPUS HEAVY UNIT
61</t>
    <phoneticPr fontId="1" type="noConversion"/>
  </si>
  <si>
    <t>Light Price</t>
    <phoneticPr fontId="8"/>
  </si>
  <si>
    <t xml:space="preserve">Light : DMS &gt; KPI &gt; HSIT KPI &gt; [Service Detail] 화면 &gt; Sales &gt; BPS &gt; Light Damage &gt; Price
</t>
    <phoneticPr fontId="8"/>
  </si>
  <si>
    <t>DMS BPS LIGHT SALES
81,439,031</t>
    <phoneticPr fontId="1" type="noConversion"/>
  </si>
  <si>
    <t>RDS BPS LIGHT SALES
532,945,764</t>
    <phoneticPr fontId="1" type="noConversion"/>
  </si>
  <si>
    <t>Light Price / 작년 Light Price 비율</t>
    <phoneticPr fontId="8"/>
  </si>
  <si>
    <t xml:space="preserve">Light : DMS &gt; KPI &gt; HSIT KPI &gt; [Service Detail] 화면 &gt; Sales &gt; BPS &gt; Light Damage &gt; Price
작년 Light : DMS &gt; KPI &gt; HSIT KPI &gt; [Service Detail] 화면 &gt; Sales &gt; BPS &gt; Light Damage &gt; Price (작년기준)
</t>
    <phoneticPr fontId="8"/>
  </si>
  <si>
    <t>LY DMS BPS LIGHT SALES
87,509,138</t>
    <phoneticPr fontId="1" type="noConversion"/>
  </si>
  <si>
    <t>LY RDS BPS LIGHT SALES
526,618,382</t>
    <phoneticPr fontId="1" type="noConversion"/>
  </si>
  <si>
    <t>Medium Price</t>
    <phoneticPr fontId="8"/>
  </si>
  <si>
    <t xml:space="preserve">Medium : DMS &gt; KPI &gt; HSIT KPI &gt; [Service Detail] 화면 &gt; Sales &gt; BPS &gt; Medium Damage &gt; Price
</t>
    <phoneticPr fontId="8"/>
  </si>
  <si>
    <t>DMS BPS MEDIUM SALES
268,303,283</t>
    <phoneticPr fontId="1" type="noConversion"/>
  </si>
  <si>
    <t>RDS BPS MEDIUM SALES
454,351,751</t>
    <phoneticPr fontId="1" type="noConversion"/>
  </si>
  <si>
    <t>Medium Price / 작년 Medium Price 비율</t>
    <phoneticPr fontId="8"/>
  </si>
  <si>
    <t xml:space="preserve">Medium : DMS &gt; KPI &gt; HSIT KPI &gt; [Service Detail] 화면 &gt; Sales &gt; BPS &gt; Medium Damage &gt; Price
작년 Medium : DMS &gt; KPI &gt; HSIT KPI &gt; [Service Detail] 화면 &gt; Sales &gt; BPS &gt; Medium Damage &gt; Price (작년기준)
</t>
    <phoneticPr fontId="8"/>
  </si>
  <si>
    <t>LY DMS BPS MEDIUM SALES
269,039,010</t>
    <phoneticPr fontId="1" type="noConversion"/>
  </si>
  <si>
    <t>LY RDS BPS MEDIUM SALES
310,819,317</t>
    <phoneticPr fontId="1" type="noConversion"/>
  </si>
  <si>
    <t>Heavy Price</t>
    <phoneticPr fontId="8"/>
  </si>
  <si>
    <t xml:space="preserve">Heavy : DMS &gt; KPI &gt; HSIT KPI &gt; [Service Detail] 화면 &gt; Sales &gt; BPS &gt; Heavy Damage &gt; Price
</t>
    <phoneticPr fontId="8"/>
  </si>
  <si>
    <t>DMS BPS HEAVY SALES
990,752,892</t>
    <phoneticPr fontId="1" type="noConversion"/>
  </si>
  <si>
    <t>RDS BPS HEAVY_SALES
312,777,709</t>
    <phoneticPr fontId="1" type="noConversion"/>
  </si>
  <si>
    <t>Heavy Price / 작년 Heavy Price 비율</t>
    <phoneticPr fontId="8"/>
  </si>
  <si>
    <t xml:space="preserve">Heavy : DMS &gt; KPI &gt; HSIT KPI &gt; [Service Detail] 화면 &gt; Sales &gt; BPS &gt; Heavy Damage &gt; Price
작년 Heavy : DMS &gt; KPI &gt; HSIT KPI &gt; [Service Detail] 화면 &gt; Sales &gt; BPS &gt; Heavy Damage &gt; Price (작년기준)
</t>
    <phoneticPr fontId="8"/>
  </si>
  <si>
    <t>LY DMS BPS HEAVY SALES
1,044,361,918</t>
    <phoneticPr fontId="1" type="noConversion"/>
  </si>
  <si>
    <t>LY RDS BPS HEAVY_SALES
563,472,367</t>
    <phoneticPr fontId="1" type="noConversion"/>
  </si>
  <si>
    <t>Unit Price</t>
  </si>
  <si>
    <t xml:space="preserve">BPS : DMS &gt; KPI &gt; HSIT KPI &gt; [Service Detail] 화면 Sales &gt; BPS &gt; Total &gt; Actual
BPUS : DMS &gt; KPI &gt; HSIT KPI &gt; [Service Detail] 화면 Entry &gt; BPUS &gt; Total &gt; Actual
</t>
    <phoneticPr fontId="8"/>
  </si>
  <si>
    <t>(BPS / BPUS) / (BPS Target / BPUS Target)</t>
    <phoneticPr fontId="8"/>
  </si>
  <si>
    <t xml:space="preserve">BPS : DMS &gt; KPI &gt; HSIT KPI &gt; [Service Detail] 화면 Sales &gt; BPS &gt; Total &gt; Actual
BPUS : DMS &gt; KPI &gt; HSIT KPI &gt; [Service Detail] 화면 Entry &gt; BPUS &gt; Total &gt; Actual
BPS Target : DMS &gt; KPI &gt; HSIT KPI &gt; [Service Detail] 화면 Sales &gt; BPS &gt; Total &gt; Plan
BPUS Target : DMS &gt; KPI &gt; HSIT KPI &gt; [Service Detail] 화면 Entry &gt; BPUS &gt; Total &gt; Plan
</t>
  </si>
  <si>
    <t>(BPS / BPUS) / 작년 (BPS / BPUS) 비율</t>
    <phoneticPr fontId="8"/>
  </si>
  <si>
    <t xml:space="preserve">BPS : DMS &gt; KPI &gt; HSIT KPI &gt; [Service Detail] 화면 Sales &gt; BPS &gt; Total &gt; Actual
BPUS : DMS &gt; KPI &gt; HSIT KPI &gt; [Service Detail] 화면 Entry &gt; BPUS &gt; Total &gt; Actual
작년 BPS : DMS &gt; KPI &gt; HSIT KPI &gt; [Service Detail] 화면 Sales &gt; BPS &gt; Total &gt; Actual (작년기준)
작년 BPUS : DMS &gt; KPI &gt; HSIT KPI &gt; [Service Detail] 화면 Entry &gt; BPUS &gt; Total &gt; Actual (작년기준)
</t>
  </si>
  <si>
    <t>CRt Breakdown</t>
    <phoneticPr fontId="8"/>
  </si>
  <si>
    <t>[@_ACTIVE_CRT_8Y] [@_ACTIVE_CRT_WY]
O</t>
  </si>
  <si>
    <t xml:space="preserve">CRt 페이지 날짜 조건 변경
8Y : ~ 최근 8년도부터 현재 날짜까지 누적된 수치 
WY : ~ 2009년도 부터 현재 날짜까지 누적된 수치 </t>
  </si>
  <si>
    <t>DMS Active CRt
21,319</t>
    <phoneticPr fontId="1" type="noConversion"/>
  </si>
  <si>
    <t>[@_RATIO_ACTIVE_CRT_TGT_8Y]  [@_RATIO_ACTIVE_CRT_TGT_WY] 
O</t>
  </si>
  <si>
    <t>[@_RATIO_ACTIVE_CRT_LY_8Y] [@_RATIO_ACTIVE_CRT_LY_WY]
O</t>
  </si>
  <si>
    <t>Active CRt (Contract_ro_v)</t>
    <phoneticPr fontId="1" type="noConversion"/>
  </si>
  <si>
    <t xml:space="preserve">
</t>
    <phoneticPr fontId="1" type="noConversion"/>
  </si>
  <si>
    <t>RDS Active</t>
    <phoneticPr fontId="1" type="noConversion"/>
  </si>
  <si>
    <t>Own CRt</t>
    <phoneticPr fontId="8"/>
  </si>
  <si>
    <t>1)자사출고, 2)자사 서비스 입고차량
   / 자사출고한지 8년 이내 차량 비율</t>
    <phoneticPr fontId="8"/>
  </si>
  <si>
    <t xml:space="preserve">Active Customer Own 8-year : DMS &gt; Service &gt; Monthly CR Rate Report
   - Number of Active Customer Own
UIO : DMS &gt; Service &gt; Monthly CR Rate Report
   - UIO
</t>
    <phoneticPr fontId="8"/>
  </si>
  <si>
    <t>DMS Own
16,382</t>
    <phoneticPr fontId="1" type="noConversion"/>
  </si>
  <si>
    <t>RDS Own
16,381</t>
    <phoneticPr fontId="1" type="noConversion"/>
  </si>
  <si>
    <t>[@_OWN_CRT_8Y]  [@_OWN_CRT_WY]
O</t>
  </si>
  <si>
    <t>Own CRt / Own CRt Target 비율</t>
    <phoneticPr fontId="8"/>
  </si>
  <si>
    <t xml:space="preserve">Own CRt Target: DMS &gt; KPI &gt; HSIT KPI &gt; [Service Detail] 화면 CSI &amp;CR &gt; Own CRtR (8-year) &gt; Plan
</t>
    <phoneticPr fontId="8"/>
  </si>
  <si>
    <t>DMS UIO TARGET
0</t>
    <phoneticPr fontId="1" type="noConversion"/>
  </si>
  <si>
    <t>RDS UIO TARGET
0</t>
    <phoneticPr fontId="1" type="noConversion"/>
  </si>
  <si>
    <t>[@_RATIO_OWN_CRT_TGT_8Y]  [@_RATIO_OWN_CRT_TGT_WY] 
O</t>
  </si>
  <si>
    <t xml:space="preserve">서비스 입고차량 / 자사출고한지 8년 이내 차량 비율 (작년기준)
</t>
    <phoneticPr fontId="8"/>
  </si>
  <si>
    <t xml:space="preserve">Active Customer Own 8-year : DMS &gt; Service &gt; Monthly CR Rate Report
   - Number of Active Customer Own
UIO : DMS &gt; Service &gt; Monthly CR Rate Report
   - UIO
작년 Active Customer Own 8-year : DMS &gt; Service &gt; Monthly CR Rate Report
   - 작년 Number of Active Customer Own
작년 UIO : DMS &gt; Service &gt; Monthly CR Rate Report
   - 작년 UIO
</t>
    <phoneticPr fontId="8"/>
  </si>
  <si>
    <t>LY DMS Own
16,685</t>
    <phoneticPr fontId="1" type="noConversion"/>
  </si>
  <si>
    <t>LY RDS Own
16,685</t>
    <phoneticPr fontId="1" type="noConversion"/>
  </si>
  <si>
    <t>LY RDS UIO
25,547</t>
    <phoneticPr fontId="1" type="noConversion"/>
  </si>
  <si>
    <t>[@_RATIO_OWN_CRT_LY_8Y]  [@_RATIO_OWN_CRT_LY_WY]
O</t>
  </si>
  <si>
    <t>Own CRt (Contract_ro_v)</t>
    <phoneticPr fontId="1" type="noConversion"/>
  </si>
  <si>
    <t>RDS Own</t>
    <phoneticPr fontId="1" type="noConversion"/>
  </si>
  <si>
    <t>UIO</t>
    <phoneticPr fontId="8"/>
  </si>
  <si>
    <t>자사 출고한지 8년 이내 차량 수</t>
    <phoneticPr fontId="8"/>
  </si>
  <si>
    <t xml:space="preserve">UIO : DMS &gt; Service &gt; Monthly CR Rate Report
   - UIO
</t>
    <phoneticPr fontId="8"/>
  </si>
  <si>
    <t>[@_CRt_RESULT_8Y] 
[@_CRt_RESULT_WY]
O</t>
  </si>
  <si>
    <t>UIO / 작년 UIO 비율</t>
    <phoneticPr fontId="8"/>
  </si>
  <si>
    <t xml:space="preserve">작년 UIO : DMS &gt; Service &gt; Monthly CR Rate Report
   - 작년 UIO
</t>
    <phoneticPr fontId="8"/>
  </si>
  <si>
    <t>LY DMS Own
25,547</t>
    <phoneticPr fontId="1" type="noConversion"/>
  </si>
  <si>
    <t>LY RDS Own
25,547</t>
    <phoneticPr fontId="1" type="noConversion"/>
  </si>
  <si>
    <t>No. of Active Cust.</t>
    <phoneticPr fontId="8"/>
  </si>
  <si>
    <t>1)자사출고, 2)자/타사 서비스 입고차량</t>
    <phoneticPr fontId="1" type="noConversion"/>
  </si>
  <si>
    <t xml:space="preserve">Active Customer 8-year : DMS &gt; Service &gt; Monthly CR Rate Report
   - Number of Active Customer
</t>
    <phoneticPr fontId="8"/>
  </si>
  <si>
    <t>RDS Active
21,319</t>
    <phoneticPr fontId="1" type="noConversion"/>
  </si>
  <si>
    <t xml:space="preserve">No. of Active Cust. / 작년 No. of Active Cust. 비율
</t>
    <phoneticPr fontId="8"/>
  </si>
  <si>
    <t xml:space="preserve">No. of Active Cust : DMS &gt; KPI &gt; HSIT KPI &gt; [Service Detail] 화면 CSI &amp;CR &gt; No. of Active Customers &gt; Actual
작년 No. of Active Cust : DMS &gt; KPI &gt; HSIT KPI &gt; [Service Detail] 화면 CSI &amp;CR &gt; No. of Active Customers &gt; Actual (작년기준)
</t>
    <phoneticPr fontId="8"/>
  </si>
  <si>
    <t>LY RDS Active
21,554</t>
    <phoneticPr fontId="1" type="noConversion"/>
  </si>
  <si>
    <t>FMS ratio</t>
    <phoneticPr fontId="8"/>
  </si>
  <si>
    <t xml:space="preserve">1)자사출고, 2)자사 서비스 입고차량 중 FMS, FMS_1K 수리 건 / No. of Active Cust.
</t>
    <phoneticPr fontId="1" type="noConversion"/>
  </si>
  <si>
    <t xml:space="preserve">FMS : DMS &gt; Service &gt; Monthly CR Rate Report
   - Number of Active Customer (OWN) FMS + Number of Active Customer (Other) FMS
</t>
    <phoneticPr fontId="1" type="noConversion"/>
  </si>
  <si>
    <t>DMS CRT FMS
11,307</t>
    <phoneticPr fontId="1" type="noConversion"/>
  </si>
  <si>
    <t>RDS CRT FMS
11,307</t>
    <phoneticPr fontId="1" type="noConversion"/>
  </si>
  <si>
    <t>[@_RATIO_CRT_8Y_FMS] 
[@_RATIO_CRT_WY_FMS]
O</t>
  </si>
  <si>
    <t>FMS 작년 비율</t>
    <phoneticPr fontId="1" type="noConversion"/>
  </si>
  <si>
    <t xml:space="preserve">작년 FMS : DMS &gt; Service &gt; Monthly CR Rate Report
   - 작년 Number of Active Customer (OWN) FMS + 작년 Number of Active Customer (Other) FMS
</t>
    <phoneticPr fontId="1" type="noConversion"/>
  </si>
  <si>
    <t>LY DMS CRT FMS
12,343</t>
    <phoneticPr fontId="1" type="noConversion"/>
  </si>
  <si>
    <t>LY RDS CRT FMS
12,343</t>
    <phoneticPr fontId="1" type="noConversion"/>
  </si>
  <si>
    <t>[@_RATIO_FMS_LY_8Y] 
[@_RATIO_FMS_LY_WY]
O</t>
  </si>
  <si>
    <t>PSP ratio</t>
    <phoneticPr fontId="8"/>
  </si>
  <si>
    <t xml:space="preserve">1)자사출고, 2)자사 서비스 입고차량 중 PSP 수리 건 / No. of Active Cust.
</t>
    <phoneticPr fontId="1" type="noConversion"/>
  </si>
  <si>
    <t xml:space="preserve">PSP : DMS &gt; Service &gt; Monthly CR Rate Report
   - Number of Active Customer (OWN) PSP + Number of Active Customer (Other) PSP
</t>
    <phoneticPr fontId="1" type="noConversion"/>
  </si>
  <si>
    <t>DMS CRT PSP
5,690</t>
    <phoneticPr fontId="1" type="noConversion"/>
  </si>
  <si>
    <t>RDS CRT PSP
5,690</t>
    <phoneticPr fontId="1" type="noConversion"/>
  </si>
  <si>
    <t>[@_RATIO_CRT_8Y_PSP] 
[@_RATIO_CRT_WY_PSP]
O</t>
  </si>
  <si>
    <t>PSP 작년 비율</t>
    <phoneticPr fontId="1" type="noConversion"/>
  </si>
  <si>
    <t xml:space="preserve">작년 PSP : DMS &gt; Service &gt; Monthly CR Rate Report
   - Number of Active Customer (OWN) PSP + Number of Active Customer (Other) PSP
</t>
    <phoneticPr fontId="1" type="noConversion"/>
  </si>
  <si>
    <t>LY DMS CRT PSP
4,235</t>
    <phoneticPr fontId="1" type="noConversion"/>
  </si>
  <si>
    <t>LY RDS CRT PSP
4,235</t>
    <phoneticPr fontId="1" type="noConversion"/>
  </si>
  <si>
    <t>[@_RATIO_PSP_LY_8Y] 
[@_RATIO_PSP_LY_WY]
O</t>
  </si>
  <si>
    <t>GR ratio</t>
    <phoneticPr fontId="8"/>
  </si>
  <si>
    <t xml:space="preserve">1)자사출고, 2)자사 서비스 입고차량 중 GR, PO 수리 건 / No. of Active Cust.
</t>
    <phoneticPr fontId="1" type="noConversion"/>
  </si>
  <si>
    <t xml:space="preserve">GR : DMS &gt; Service &gt; Monthly CR Rate Report
   - Number of Active Customer (OWN) GR, PO + Number of Active Customer (Other) GR, PO
</t>
    <phoneticPr fontId="1" type="noConversion"/>
  </si>
  <si>
    <t>DMS CRT GR
4,005</t>
    <phoneticPr fontId="1" type="noConversion"/>
  </si>
  <si>
    <t>RDS CRT GR
4,005</t>
    <phoneticPr fontId="1" type="noConversion"/>
  </si>
  <si>
    <t>[@_RATIO_CRT_8Y_GR]
[@_RATIO_CRT_WY_GR]
O</t>
  </si>
  <si>
    <t>LY DMS CRT GR
4,466</t>
    <phoneticPr fontId="1" type="noConversion"/>
  </si>
  <si>
    <t>LY RDS CRT GR
4,466</t>
    <phoneticPr fontId="1" type="noConversion"/>
  </si>
  <si>
    <t>[@_RATIO_GR_LY_8Y]
[@_RATIO_GR_LY_WY]
O</t>
  </si>
  <si>
    <t>Active Cust by vehicle age</t>
    <phoneticPr fontId="8"/>
  </si>
  <si>
    <t xml:space="preserve">FMS : DMS &gt; Service &gt; Monthly CR Rate Report
   - 출고년도 별 Number of Active Customer (OWN) FMS + Number of Active Customer (Other) FMS
</t>
    <phoneticPr fontId="1" type="noConversion"/>
  </si>
  <si>
    <t>DMS CRT FMS 3Y
2,679</t>
    <phoneticPr fontId="1" type="noConversion"/>
  </si>
  <si>
    <t>RDS CRT FMS 3Y
2,679</t>
    <phoneticPr fontId="1" type="noConversion"/>
  </si>
  <si>
    <t>[@_CRt_8Y_RESULT_YR]
[@_CRt_WY_RESULT_YR]
O</t>
  </si>
  <si>
    <t xml:space="preserve">PSP : DMS &gt; Service &gt; Monthly CR Rate Report
   - 출고년도 별 Number of Active Customer (OWN) PSP + Number of Active Customer (Other) PSP
</t>
    <phoneticPr fontId="1" type="noConversion"/>
  </si>
  <si>
    <t>DMS CRT PSP 3Y
4</t>
    <phoneticPr fontId="1" type="noConversion"/>
  </si>
  <si>
    <t>RDS CRT PSP 3Y
4</t>
    <phoneticPr fontId="1" type="noConversion"/>
  </si>
  <si>
    <t>GR</t>
    <phoneticPr fontId="8"/>
  </si>
  <si>
    <t xml:space="preserve">GR : DMS &gt; Service &gt; Monthly CR Rate Report
   - 출고년도 별 Number of Active Customer (OWN) GR, PO + Number of Active Customer (Other) GR, PO
</t>
    <phoneticPr fontId="1" type="noConversion"/>
  </si>
  <si>
    <t>DMS CRT GR 3Y
18</t>
    <phoneticPr fontId="1" type="noConversion"/>
  </si>
  <si>
    <t>Warranty</t>
    <phoneticPr fontId="8"/>
  </si>
  <si>
    <t xml:space="preserve">1)자사출고, 2)자사 서비스 입고차량 중 WT 수리 건 / No. of Active Cust.
</t>
    <phoneticPr fontId="1" type="noConversion"/>
  </si>
  <si>
    <t xml:space="preserve">GR : DMS &gt; Service &gt; Monthly CR Rate Report
   - 출고년도 별 Number of Active Customer (OWN) WT + Number of Active Customer (Other) WT
</t>
    <phoneticPr fontId="1" type="noConversion"/>
  </si>
  <si>
    <t>DMS CRT WT 3Y
6</t>
    <phoneticPr fontId="1" type="noConversion"/>
  </si>
  <si>
    <t>UIO (NVS) by vehicle age</t>
    <phoneticPr fontId="8"/>
  </si>
  <si>
    <t xml:space="preserve">UIO : DMS &gt; Service &gt; Monthly CR Rate Report
   - 출고년도 별 UIO
</t>
    <phoneticPr fontId="8"/>
  </si>
  <si>
    <t>DMS UIO 3Y
2,785</t>
    <phoneticPr fontId="1" type="noConversion"/>
  </si>
  <si>
    <t>RDS UIO 3Y
2,785</t>
    <phoneticPr fontId="1" type="noConversion"/>
  </si>
  <si>
    <t>[@_DENOM_UIO_8Y]
[@_DENOM_UIO_WY]
O</t>
  </si>
  <si>
    <t>Capacity</t>
  </si>
  <si>
    <t>Table</t>
    <phoneticPr fontId="8"/>
  </si>
  <si>
    <t>TGUS</t>
    <phoneticPr fontId="8"/>
  </si>
  <si>
    <t xml:space="preserve">TGUS : DMS &gt; KPI &gt; HSIT KPI &gt; [Service Detail] 화면 Entry &gt; TGUS &gt; Actual
</t>
    <phoneticPr fontId="8"/>
  </si>
  <si>
    <t>DMS TGUS
3,366</t>
    <phoneticPr fontId="1" type="noConversion"/>
  </si>
  <si>
    <t>RDS TGUS
3,365</t>
    <phoneticPr fontId="1" type="noConversion"/>
  </si>
  <si>
    <t>[@_TGUS]
O</t>
  </si>
  <si>
    <t>PM (1M/FMS/PSP) ratio</t>
    <phoneticPr fontId="8"/>
  </si>
  <si>
    <t>1M+FMS+PSP / TGUS 비율</t>
    <phoneticPr fontId="8"/>
  </si>
  <si>
    <t xml:space="preserve">PM : DMS &gt; KPI &gt; [Service &gt; [Monthly Service KPI(NEW)] 화면 입고대수/매출 &gt; 1M, FMS, PSP
</t>
    <phoneticPr fontId="8"/>
  </si>
  <si>
    <t>[@_PM_SVC_RATIO]
O</t>
  </si>
  <si>
    <t>Appointment L/T</t>
    <phoneticPr fontId="8"/>
  </si>
  <si>
    <t xml:space="preserve">예약가능일 - 당일
</t>
    <phoneticPr fontId="8"/>
  </si>
  <si>
    <t>[@_AICC]
O</t>
  </si>
  <si>
    <t xml:space="preserve">주말 예약가능일 - 당일
</t>
    <phoneticPr fontId="8"/>
  </si>
  <si>
    <t>RESV L/T
0</t>
    <phoneticPr fontId="1" type="noConversion"/>
  </si>
  <si>
    <t>GS</t>
    <phoneticPr fontId="8"/>
  </si>
  <si>
    <t>GS</t>
  </si>
  <si>
    <t xml:space="preserve">Unit : DMS &gt; KPI &gt; HSIT KPI &gt; [Service Detail] 화면 Entry &gt; CPUS &gt; Actual TTL
day : DMS &gt; KPI &gt; HSIT KPI &gt; [Service Detail] 화면 Working Day
Tech : Service &gt; 기준정보 &gt; KPI 기준정보 &gt; [일자별 작업시간관리]
  - 일반 테크니션 수
</t>
    <phoneticPr fontId="8"/>
  </si>
  <si>
    <t xml:space="preserve">Unit : DMS &gt; KPI &gt; HSIT KPI &gt; [Service Detail] 화면 Entry &gt; CPUS &gt; Actual TTL
day : DMS &gt; KPI &gt; HSIT KPI &gt; [Service Detail] 화면 Working Day
Stall : Service &gt; 기준정보 &gt; KPI 기준정보 &gt; [Monthly KPI 기초정보등록(딜러)]
Stall &gt; GS
</t>
    <phoneticPr fontId="8"/>
  </si>
  <si>
    <t>BP</t>
    <phoneticPr fontId="8"/>
  </si>
  <si>
    <t xml:space="preserve">Unit : DMS &gt; KPI &gt; HSIT KPI &gt; [Service Detail] 화면 Entry &gt; BPUS &gt; Total &gt; Actual
day : DMS &gt; KPI &gt; HSIT KPI &gt; [Service Detail] 화면 Working Day
Tech : Service &gt; 기준정보 &gt; KPI 기준정보 &gt; [일자별 작업시간관리]
  - BP 테크니션 수
</t>
    <phoneticPr fontId="8"/>
  </si>
  <si>
    <t>Graph - GS</t>
    <phoneticPr fontId="8"/>
  </si>
  <si>
    <t>No. of SA</t>
    <phoneticPr fontId="8"/>
  </si>
  <si>
    <t>No. of SA, CPUS / Working day</t>
    <phoneticPr fontId="8"/>
  </si>
  <si>
    <t>No. of Stall</t>
    <phoneticPr fontId="8"/>
  </si>
  <si>
    <t>No. of Stall, CPUS / Working day</t>
    <phoneticPr fontId="8"/>
  </si>
  <si>
    <t>No. of Tech</t>
    <phoneticPr fontId="8"/>
  </si>
  <si>
    <t>No. of Tech, CPUS / Working day</t>
    <phoneticPr fontId="8"/>
  </si>
  <si>
    <t>Graph - BP</t>
    <phoneticPr fontId="8"/>
  </si>
  <si>
    <t>No. of SA, BPUS / Working day</t>
    <phoneticPr fontId="8"/>
  </si>
  <si>
    <t>No. of Stall, BPUS / Working day</t>
    <phoneticPr fontId="8"/>
  </si>
  <si>
    <t>No. of Tech, BPUS / Working day</t>
    <phoneticPr fontId="8"/>
  </si>
  <si>
    <t>번호</t>
  </si>
  <si>
    <t>Page / Area</t>
    <phoneticPr fontId="1" type="noConversion"/>
  </si>
  <si>
    <t>KPI</t>
  </si>
  <si>
    <t>비고</t>
    <phoneticPr fontId="1" type="noConversion"/>
  </si>
  <si>
    <t>테이블</t>
    <phoneticPr fontId="1" type="noConversion"/>
  </si>
  <si>
    <t>SVC SALES</t>
    <phoneticPr fontId="1" type="noConversion"/>
  </si>
  <si>
    <t>CPS</t>
    <phoneticPr fontId="1" type="noConversion"/>
  </si>
  <si>
    <t xml:space="preserve">1. 정산유형 : 제안서 중 FMS 정산 건
2. 정산유형 : 제안서 중 PSP 정산 (PSP 또는 SMS) 건
3. 정산유형 : 일반제안서 중 보험 정산 건
4. 정산유형 : 일반제안서 중 일반 정산 건
</t>
  </si>
  <si>
    <t xml:space="preserve">DMS_SVC_RO
DMS_SVC_RO_SALES
1. RO_TYPE_CD = 'F'
2. RO_TYPE_CD = 'Y'
3. REPAIR_TYPE_CD = 1 AND RO_TYPE_CD ='I'
4. REPAIR_TYPE_CD = 1 AND RO_TYPE_CD ='G'
</t>
  </si>
  <si>
    <t>CPS Target</t>
    <phoneticPr fontId="1" type="noConversion"/>
  </si>
  <si>
    <t xml:space="preserve">1. 매월 딜러 별 CPS 목표 값
</t>
    <phoneticPr fontId="1" type="noConversion"/>
  </si>
  <si>
    <t xml:space="preserve">DMS_SVC_KPI_RESOURCE
1. SVC_KPI_CODE = 'SVC_CPS'
</t>
  </si>
  <si>
    <t>BPS</t>
    <phoneticPr fontId="1" type="noConversion"/>
  </si>
  <si>
    <t xml:space="preserve">1. 정산유형 : BP 제안서 중 보험 정산 건
2. 정산유형 : BP 제안서 중 일반 정산 건
</t>
    <phoneticPr fontId="1" type="noConversion"/>
  </si>
  <si>
    <t xml:space="preserve">DMS_SVC_RO
DMS_SVC_RO_SALES
1. REPAIR_TYPE_CD = 2 AND RO_TYPE_CD = 'I'
2. REPAIR_TYPE_CD = 2 AND RO_TYPE_CD = 'G'
</t>
    <phoneticPr fontId="1" type="noConversion"/>
  </si>
  <si>
    <t>BPS Target</t>
    <phoneticPr fontId="1" type="noConversion"/>
  </si>
  <si>
    <t xml:space="preserve">1. 매월 딜러 별 BPS 목표 값
</t>
    <phoneticPr fontId="1" type="noConversion"/>
  </si>
  <si>
    <t xml:space="preserve">DMS_SVC_KPI_RESOURCE
1. SVC_KPI_CODE = 'SVC_BPS'
</t>
  </si>
  <si>
    <t>SVC UNIT SALES</t>
    <phoneticPr fontId="1" type="noConversion"/>
  </si>
  <si>
    <t>CPUS</t>
    <phoneticPr fontId="1" type="noConversion"/>
  </si>
  <si>
    <t>1. 최종정산 유형 : FMS
2. 최종정산 유형 : PSP
3. 최종정산 유형 : GR
4. 최종정산 유형 : FMS_1K
5. 최종정산 유형 : PO</t>
    <phoneticPr fontId="1" type="noConversion"/>
  </si>
  <si>
    <t>DMS_SVC_RO
1. RO_CLOSE_TYPE_CD = 'FMS'
2. RO_CLSOE_TYPE_CD = 'PSP'
3. RO_CLOSE_TYPE_CD = 'GR'
4. RO_CLOSE_TYPE_CD = 'FMS_1K'
5. RO_CLOSE_TYPE_CD = 'PO'</t>
    <phoneticPr fontId="1" type="noConversion"/>
  </si>
  <si>
    <t>CPUS Target</t>
    <phoneticPr fontId="1" type="noConversion"/>
  </si>
  <si>
    <t xml:space="preserve">1. 매월 딜러 별 CPUS 목표 값
</t>
    <phoneticPr fontId="1" type="noConversion"/>
  </si>
  <si>
    <t xml:space="preserve">DMS_SVC_KPI_RESOURCE
1. SVC_KPI_CODE = 'SVC_CPUS'
</t>
  </si>
  <si>
    <t>BPUS</t>
    <phoneticPr fontId="1" type="noConversion"/>
  </si>
  <si>
    <t xml:space="preserve">1. 최종정산 유형 : BP
</t>
    <phoneticPr fontId="1" type="noConversion"/>
  </si>
  <si>
    <t xml:space="preserve">DMS_SVC_RO
1. RO_CLOSE_TYPE_CD = 'BP'
</t>
  </si>
  <si>
    <t>BPUS Target</t>
    <phoneticPr fontId="1" type="noConversion"/>
  </si>
  <si>
    <t xml:space="preserve">1. 매월 딜러 별 BPUS 목표 값
</t>
    <phoneticPr fontId="1" type="noConversion"/>
  </si>
  <si>
    <t xml:space="preserve">DMS_SVC_KPI_RESOURCE
1. SVC_KPI_CODE = 'SVC_BPUS'
</t>
    <phoneticPr fontId="1" type="noConversion"/>
  </si>
  <si>
    <t>SVC Type Detail</t>
    <phoneticPr fontId="1" type="noConversion"/>
  </si>
  <si>
    <t>FMS Sales</t>
    <phoneticPr fontId="1" type="noConversion"/>
  </si>
  <si>
    <t xml:space="preserve">1. 정산유형 : 제안서 중 FMS 정산 건
</t>
    <phoneticPr fontId="1" type="noConversion"/>
  </si>
  <si>
    <t xml:space="preserve">DMS_SVC_RO_SALES
1. RO_TYPE_CD = 'F'
</t>
  </si>
  <si>
    <t>FMS Unit Sales</t>
    <phoneticPr fontId="1" type="noConversion"/>
  </si>
  <si>
    <t xml:space="preserve">1. 최종정산 유형 : FMS
</t>
    <phoneticPr fontId="1" type="noConversion"/>
  </si>
  <si>
    <t xml:space="preserve">DMS_SVC_RO
1. RO_CLOSE_TYPE_CD = 'FMS'
2. RO_CLOSE_TYPE_CD = 'FMS_1K'
</t>
  </si>
  <si>
    <t>PSP Sales</t>
    <phoneticPr fontId="1" type="noConversion"/>
  </si>
  <si>
    <t xml:space="preserve">1. 정산유형 : 일반 제안서 중 PSP 정산 건
</t>
    <phoneticPr fontId="1" type="noConversion"/>
  </si>
  <si>
    <t xml:space="preserve">DMS_SVC_RO_SALES
1. RO_TYPE_CD = 'Y'
</t>
  </si>
  <si>
    <t>PSP Unit Sales</t>
    <phoneticPr fontId="1" type="noConversion"/>
  </si>
  <si>
    <t xml:space="preserve">1. 최종정산 유형 : PSP
</t>
    <phoneticPr fontId="1" type="noConversion"/>
  </si>
  <si>
    <t xml:space="preserve">DMS_SVC_RO
1. RO_CLOSE_TYPE_CD = 'PSP'
</t>
    <phoneticPr fontId="1" type="noConversion"/>
  </si>
  <si>
    <t>GR Sales</t>
    <phoneticPr fontId="1" type="noConversion"/>
  </si>
  <si>
    <t>1. 정산유형 : 일반제안서 중 보험 정산 건
2. 정산유형 : 일반제안서 중 일반 정산 건</t>
  </si>
  <si>
    <t xml:space="preserve">DMS_SVC_RO
DMS_SVC_RO_SALES
1. REPAIR_TYPE_CD = 1 AND RO_TYPE_CD ='I'
2. REPAIR_TYPE_CD = 1 AND RO_TYPE_CD ='G'
</t>
  </si>
  <si>
    <t>GR Unit Sales</t>
    <phoneticPr fontId="1" type="noConversion"/>
  </si>
  <si>
    <t>1. 최종정산 유형 : GR</t>
    <phoneticPr fontId="1" type="noConversion"/>
  </si>
  <si>
    <t xml:space="preserve">DMS_SVC_RO
1. RO_CLOSE_TYPE_CD = 'GR'
</t>
    <phoneticPr fontId="1" type="noConversion"/>
  </si>
  <si>
    <t>Light Sales</t>
    <phoneticPr fontId="1" type="noConversion"/>
  </si>
  <si>
    <t xml:space="preserve">1. BP 제안서 중 2개 이상의 제안서는 1개로 취급하고 공임금액을 합산한 금액이 100만원 미만이면 소파로 판단
</t>
  </si>
  <si>
    <t xml:space="preserve">DMS_SVC_RO
1. REPAIR_TYPE_CD = '2' AND GROUP_ID, PROPO_DT, VIN이 동일한 제안서들의 CNFM_LABOR_AMT 금액 합 &lt; 1000000
</t>
  </si>
  <si>
    <t>Light Unit Sales</t>
    <phoneticPr fontId="1" type="noConversion"/>
  </si>
  <si>
    <t xml:space="preserve">1. BP 제안서 중 2개 이상의 제안서는 1개로 취급하고 공임금액을 합산한 금액이 100만원 미만의 소파로 판단한 제안서들의 매출
</t>
    <phoneticPr fontId="1" type="noConversion"/>
  </si>
  <si>
    <t xml:space="preserve">DMS_SVC_RO_SALES
DMS_SVC_RO
1. REPAIR_TYPE_CD = '2' AND GROUP_ID, PROPO_DT, VIN이 동일한 제안서들의 CNFM_LABOR_AMT 금액 합 &lt; 1000000
2. SALES_DT = '202301'
</t>
    <phoneticPr fontId="1" type="noConversion"/>
  </si>
  <si>
    <t>Medium Sales</t>
    <phoneticPr fontId="1" type="noConversion"/>
  </si>
  <si>
    <t xml:space="preserve">1. BP 제안서 중 2개 이상의 제안서는 1개로 취급하고 공임금액을 합산한 금액이 100만원 이상 200만원 미만이면 중파로 판단
</t>
    <phoneticPr fontId="1" type="noConversion"/>
  </si>
  <si>
    <t xml:space="preserve">DMS_SVC_RO
1. REPAIR_TYPE_CD = '2'
2. GROUP_ID, PROPO_DT, VIN이 동일한 제안서들의 CNFM_LABOR_AMT 금액 합 = 1000000 AND 1999999
</t>
    <phoneticPr fontId="1" type="noConversion"/>
  </si>
  <si>
    <t>Medium Unit Sales</t>
    <phoneticPr fontId="1" type="noConversion"/>
  </si>
  <si>
    <t xml:space="preserve">1. BP 제안서 중 2개 이상의 제안서는 1개로 취급하고 공임금액을 합산한 금액이 100만원 이상 200만원의 중파로 판단한 제안서들의 매출
</t>
    <phoneticPr fontId="1" type="noConversion"/>
  </si>
  <si>
    <t xml:space="preserve">DMS_SVC_RO_SALES
DMS_SVC_RO
1. REPAIR_TYPE_CD = '2'
2. GROUP_ID, PROPO_DT, VIN이 동일한 제안서들의 CNFM_LABOR_AMT 금액 합 = 1000000 AND 1999999
3. SALES_DT = '202301'
</t>
  </si>
  <si>
    <t>Heavy Sales</t>
    <phoneticPr fontId="1" type="noConversion"/>
  </si>
  <si>
    <t xml:space="preserve">1. BP 제안서 중 2개 이상의 제안서는 1개로 취급하고 공임금액을 합산한 금액이 200만원 이상이면 대파로 판단
</t>
    <phoneticPr fontId="1" type="noConversion"/>
  </si>
  <si>
    <t xml:space="preserve">DMS_SVC_RO
1. REPAIR_TYPE_CD = '2'
2. GROUP_ID, PROPO_DT, VIN이 동일한 제안서들의 CNFM_LABOR_AMT 금액 합 &gt;= 2000000
</t>
  </si>
  <si>
    <t>Heavy Unit Sales</t>
    <phoneticPr fontId="1" type="noConversion"/>
  </si>
  <si>
    <t xml:space="preserve">1. BP 제안서 중 2개 이상의 제안서는 1개로 취급하고 공임금액을 합산한 금액이 200만원 이상의 대파로 판단한 제안서들의 매출
</t>
    <phoneticPr fontId="1" type="noConversion"/>
  </si>
  <si>
    <t xml:space="preserve">DMS_SVC_RO_SALES
DMS_SVC_RO
1. REPAIR_TYPE_CD = '2'
2. GROUP_ID, PROPO_DT, VIN이 동일한 제안서들의 CNFM_LABOR_AMT 금액 합 &gt;= 2000000
3. SALES_DT = '202301'
</t>
    <phoneticPr fontId="1" type="noConversion"/>
  </si>
  <si>
    <t>CRt</t>
    <phoneticPr fontId="1" type="noConversion"/>
  </si>
  <si>
    <t>UIO</t>
    <phoneticPr fontId="1" type="noConversion"/>
  </si>
  <si>
    <t>1. 8년이내 자사 판매차량 수</t>
    <phoneticPr fontId="1" type="noConversion"/>
  </si>
  <si>
    <t xml:space="preserve">DMS_SALES_CONTRACT
1. CONTRACT_STAT_CD = 'D4'
   AND RETAIL_SALES_DT &gt;= TO_CHAR(ADD_MONTHS(TRUNC(TO_DATE('202201','YYYYMM'),'MONTH'),-(12*8)+1),'YYYYMMDD')
   AND RETAIL_SALES_DT &lt; TO_CHAR(LAST_DAY(TO_DATE('202201','YYYYMM'))+1,'YYYYMMDD')
   AND DEALER_ID = ''
</t>
    <phoneticPr fontId="1" type="noConversion"/>
  </si>
  <si>
    <t>Active CRt</t>
  </si>
  <si>
    <t>1. 8년이내 자/타사 판매 차량 중 자사입고 차량 수
2. 1년이내 정산/청구된 일반 제안서
3. 동일차량 중 2건이상의 제안서는 RO_CLOSE_CRT_CD우선순위에 따라 1건으로 판단
  - 우선순위
    1. FMS
    2. PSP
    3. PO
    4. GR
    5. WT
    6. FMS_1K
    7. IT
    8. BP</t>
    <phoneticPr fontId="1" type="noConversion"/>
  </si>
  <si>
    <t xml:space="preserve">1) 8년이내 출고차량, 1년이내 RO_CLOSE_DT 인 제안서 조회 
A.DEALER_ID, B.DEALER_ID, VIN, RO_CLOSE_TYPE_CD
DMS_SALES_CONTRACT A
DMS_SVC_RO B
1. CONTRACT_STAT_CD = 'D4'
   AND RETAIL_SALES_DT &gt;= TO_CHAR(ADD_MONTHS(TRUNC(TO_DATE('202201','YYYYMM'),'MONTH'),-(12*8)+1),'YYYYMMDD')
   AND RETAIL_SALES_DT &lt; TO_CHAR(LAST_DAY(TO_DATE('202201','YYYYMM'))+1,'YYYYMMDD')
2. A.RO_CLOSE_DT BETWEEN TO_CHAR(ADD_MONTHS(TRUNC(TO_DATE('202201','YYYYMM'),'MONTH'),-11),'YYYYMMDD')
   AND TO_CHAR(LAST_DAY(TO_DATE('202201','YYYYMM')),'YYYYMMDD')
   AND A.REPAIR_TYPE_CD='1'
2) 동일차량 제안서 중복 제거 및 RO_CLOSE_CRT_CD 우선순위로 판단
GROUP BY A.DEALER_ID, B.DEALER_ID, VIN, RO_CLOSE_TYPE_CD
</t>
    <phoneticPr fontId="1" type="noConversion"/>
  </si>
  <si>
    <t>Active CRt Ratio</t>
    <phoneticPr fontId="1" type="noConversion"/>
  </si>
  <si>
    <t xml:space="preserve">Active CRt / UIO 비율
</t>
    <phoneticPr fontId="1" type="noConversion"/>
  </si>
  <si>
    <t>Active CRt Ratio Target</t>
    <phoneticPr fontId="1" type="noConversion"/>
  </si>
  <si>
    <t>1. Active CRt Ratio 목표값</t>
    <phoneticPr fontId="1" type="noConversion"/>
  </si>
  <si>
    <t xml:space="preserve">DMS_SVC_KPI_RESOURCE
1. SVC_KPI_CODE = 'SVC_ACTIVE_CRT'
</t>
  </si>
  <si>
    <t>Own CRT</t>
    <phoneticPr fontId="1" type="noConversion"/>
  </si>
  <si>
    <t xml:space="preserve">1. 8년이내 자사 판매 차량 자사입고 차량 수
2. 1년이내 정산/청구된 일반 제안서
3. 동일차량 중 2건이상의 제안서는 RO_CLOSE_CRT_CD우선순위에 따라 1건으로 판단
  - 우선순위
    1. FMS
    2. PSP
    3. PO
    4. GR
    5. WT
    6. FMS_1K
    7. IT
    8. BP
4. 판매딜러와 서비스 딜러가 동일
</t>
    <phoneticPr fontId="1" type="noConversion"/>
  </si>
  <si>
    <t>DMS_SALES_CONTRACT
DMS_SVC_RO
1. CONTRACT_STAT_CD = 'D4'
   AND RETAIL_SALES_DT &gt;= TO_CHAR(ADD_MONTHS(TRUNC(TO_DATE('202201','YYYYMM'),'MONTH'),-(12*8)+1),'YYYYMMDD')
   AND RETAIL_SALES_DT &lt; TO_CHAR(LAST_DAY(TO_DATE('202201','YYYYMM'))+1,'YYYYMMDD')
   AND DEALER_ID = ''
2. A.RO_CLOSE_DT BETWEEN TO_CHAR(ADD_MONTHS(TRUNC(TO_DATE('202201','YYYYMM'),'MONTH'),-11),'YYYYMMDD')
   AND TO_CHAR(LAST_DAY(TO_DATE('202201','YYYYMM')),'YYYYMMDD')
   AND A.REPAIR_TYPE_CD='1'
3. A.DEALER_ID = B.DEALER_ID (판매딜러와 서비스 딜러가 동일)
2) 동일차량 제안서 중복 제거 및 RO_CLOSE_CRT_CD 우선순위로 판단
   GROUP BY A.DEALER_ID, B.DEALER_ID, VIN, RO_CLOSE_TYPE_CD</t>
    <phoneticPr fontId="1" type="noConversion"/>
  </si>
  <si>
    <t>Own CRt Ratio</t>
    <phoneticPr fontId="1" type="noConversion"/>
  </si>
  <si>
    <t xml:space="preserve">Own CRt / UIO 비율
</t>
    <phoneticPr fontId="1" type="noConversion"/>
  </si>
  <si>
    <t xml:space="preserve">Own CRt Ratio Target
</t>
    <phoneticPr fontId="1" type="noConversion"/>
  </si>
  <si>
    <t>1. Own CRt Ratio 목표 값</t>
    <phoneticPr fontId="1" type="noConversion"/>
  </si>
  <si>
    <t xml:space="preserve">DMS_SVC_KPI_RESOURCE
1. SVC_KPI_CODE = 'SVC_OWN_CRT'
</t>
    <phoneticPr fontId="1" type="noConversion"/>
  </si>
  <si>
    <t>No. of Active Cust.</t>
    <phoneticPr fontId="1" type="noConversion"/>
  </si>
  <si>
    <t xml:space="preserve">1. Active CRt
</t>
    <phoneticPr fontId="1" type="noConversion"/>
  </si>
  <si>
    <t>FMS ratio</t>
    <phoneticPr fontId="1" type="noConversion"/>
  </si>
  <si>
    <t>1. Active CRt 건 중 FMS 건 / Active CRt 비율</t>
    <phoneticPr fontId="1" type="noConversion"/>
  </si>
  <si>
    <t xml:space="preserve">Active CRT 계산 후 RO_CLOSE_TYPE_CD
1. RO_CLOSE_CRT_CD = 'FMS' 
2. RO_CLOSE_CRT_CD = 'FMS_1K'
</t>
    <phoneticPr fontId="1" type="noConversion"/>
  </si>
  <si>
    <t>PSP ratio</t>
    <phoneticPr fontId="1" type="noConversion"/>
  </si>
  <si>
    <t>1. Active CRt 건 중 PSP 건 / Active CRt 비율</t>
    <phoneticPr fontId="1" type="noConversion"/>
  </si>
  <si>
    <t xml:space="preserve">Active CRT 계산 후 RO_CLOSE_TYPE_CD
1. RO_CLOSE_CRT_CD = 'PSP'
</t>
    <phoneticPr fontId="1" type="noConversion"/>
  </si>
  <si>
    <t>GR ratio</t>
    <phoneticPr fontId="1" type="noConversion"/>
  </si>
  <si>
    <t>1. Active CRt 건 중 GR 건 / Active CRt 비율</t>
    <phoneticPr fontId="1" type="noConversion"/>
  </si>
  <si>
    <t xml:space="preserve">Active CRT 계산 후 RO_CLOSE_TYPE_CD
1. RO_CLOSE_CRT_CD = 'GR'
</t>
    <phoneticPr fontId="1" type="noConversion"/>
  </si>
  <si>
    <t>WT ratio</t>
    <phoneticPr fontId="1" type="noConversion"/>
  </si>
  <si>
    <t>1. Active CRt 건 중 WT 건 / Active CRt 비율</t>
    <phoneticPr fontId="1" type="noConversion"/>
  </si>
  <si>
    <t xml:space="preserve">Active CRT 계산 후 RO_CLOSE_TYPE_CD
1. RO_CLOSE_CRT_CD = 'WT'
</t>
    <phoneticPr fontId="1" type="noConversion"/>
  </si>
  <si>
    <t>Active Cust by Vehicle age</t>
    <phoneticPr fontId="1" type="noConversion"/>
  </si>
  <si>
    <t>1. No. of Active Cust. 차량의 년식</t>
    <phoneticPr fontId="1" type="noConversion"/>
  </si>
  <si>
    <t xml:space="preserve">DMS_SVC_RO
DMS_SALES_CONTRACT
1. VIN = '' 
   AND MODEL_YEAR = ''
   AND RO_REG_DT - RETAIL_SALES_DT +1
 * 수정필요
</t>
    <phoneticPr fontId="1" type="noConversion"/>
  </si>
  <si>
    <t>UIO (NVS) by vehic age</t>
    <phoneticPr fontId="1" type="noConversion"/>
  </si>
  <si>
    <t>1. UIO 차량의 년식</t>
    <phoneticPr fontId="1" type="noConversion"/>
  </si>
  <si>
    <t xml:space="preserve">DMS_CO_VEHIC
1. VIN = '' AND MODEL_YEAR = ''
</t>
    <phoneticPr fontId="1" type="noConversion"/>
  </si>
  <si>
    <t>Capacity</t>
    <phoneticPr fontId="1" type="noConversion"/>
  </si>
  <si>
    <t>TGUS</t>
    <phoneticPr fontId="1" type="noConversion"/>
  </si>
  <si>
    <t>1. 최종정산 유형 : FMS
2. 최종정산 유형 : PSP
3. 최종정산 유형 : PO
4. 최종정산 유형 : GR
5. 최종정산 유형 : WT
6. 최종정산 유형 : IT
7. 최종정산 유형 : FMS_1K</t>
    <phoneticPr fontId="1" type="noConversion"/>
  </si>
  <si>
    <t xml:space="preserve">DMS_SVC_RO
1. RO_CLOSE_TYPE_CD = 'FMS'
2. RO_CLOSE_TYPE_CD = 'PSP'
3. RO_CLOSE_TYPE_CD = 'PO'
4. RO_CLOSE_TYPE_CD = 'GR'
5. RO_CLOSE_TYPE_CD = 'WT'
6. RO_CLOSE_TYPE_CD = 'IT'
7. RO_CLOSE_TYPE_CD = 'FMS_1K'
</t>
    <phoneticPr fontId="1" type="noConversion"/>
  </si>
  <si>
    <t>PM (1M/FMS/PSP)</t>
    <phoneticPr fontId="1" type="noConversion"/>
  </si>
  <si>
    <t xml:space="preserve">1. 최종정산 유형 : FMS
2. 최종정산 유형 : PSP
</t>
    <phoneticPr fontId="1" type="noConversion"/>
  </si>
  <si>
    <r>
      <rPr>
        <sz val="11"/>
        <rFont val="맑은 고딕"/>
        <family val="2"/>
        <scheme val="major"/>
      </rPr>
      <t xml:space="preserve">DMS_SVC_RO
1. RO_CLOSE_TYPE_CD = 'FMS'
2. RO_CLOSE_TYPE_CD = 'PSP'
3. RO_CLOSE_TYPE_CD = 'FMS_1K'
4. RO_CLOSE_TYPE_CD = 'PO'
</t>
    </r>
  </si>
  <si>
    <t>PM (1M/FMS/PSP) Ratio</t>
    <phoneticPr fontId="1" type="noConversion"/>
  </si>
  <si>
    <t xml:space="preserve">1. PM / TGUS 비율
</t>
    <phoneticPr fontId="1" type="noConversion"/>
  </si>
  <si>
    <t>Appointment L/T</t>
    <phoneticPr fontId="1" type="noConversion"/>
  </si>
  <si>
    <t>1. 전체 건 중 실예약일 - 예약등록일</t>
    <phoneticPr fontId="1" type="noConversion"/>
  </si>
  <si>
    <t xml:space="preserve">DMS_SVC_KPI_RESOURCE
1. SVC_KPI_CODE = 'SVC_GR_RESV_WEEKDAY_AVG'
</t>
  </si>
  <si>
    <t>AICC (Appointment L/T)</t>
    <phoneticPr fontId="1" type="noConversion"/>
  </si>
  <si>
    <t>1. 예약유입경로 코드가 AI콜센터
2. 실 예약일 - 예약등록일</t>
    <phoneticPr fontId="1" type="noConversion"/>
  </si>
  <si>
    <t xml:space="preserve">DMS_SVC_KPI_RESOURCE
1. SVC_KPI_CODE = 'SVC_GR_RESV_AICC_WEEKDAY_AVG'
</t>
  </si>
  <si>
    <t>GS UNIT</t>
    <phoneticPr fontId="1" type="noConversion"/>
  </si>
  <si>
    <t xml:space="preserve">1. TGUS
</t>
    <phoneticPr fontId="1" type="noConversion"/>
  </si>
  <si>
    <t>GS DAY</t>
    <phoneticPr fontId="1" type="noConversion"/>
  </si>
  <si>
    <t xml:space="preserve">1. 매월 딜러 별 Working day 값
</t>
    <phoneticPr fontId="1" type="noConversion"/>
  </si>
  <si>
    <t xml:space="preserve">DMS_SVC_KPI_RESOURCE
1. SVC_KPI_CODE = 'WORKING_DAY'
</t>
    <phoneticPr fontId="1" type="noConversion"/>
  </si>
  <si>
    <t>GS SA</t>
    <phoneticPr fontId="1" type="noConversion"/>
  </si>
  <si>
    <t xml:space="preserve">1. 매월 딜러 별 GS SA 값
</t>
    <phoneticPr fontId="1" type="noConversion"/>
  </si>
  <si>
    <t xml:space="preserve">DMS_SVC_KPI_RESOURCE
1. SVC_KPI_CODE = 'SVC_GS_SA'
</t>
  </si>
  <si>
    <t>GS TECH</t>
    <phoneticPr fontId="1" type="noConversion"/>
  </si>
  <si>
    <t xml:space="preserve">1. 매월 딜러 별 GS TECH 값
</t>
    <phoneticPr fontId="1" type="noConversion"/>
  </si>
  <si>
    <t xml:space="preserve">DMS_SVC_KPI_RESOURCE
1. SVC_KPI_CODE = 'SVC_GS_TECH'
</t>
  </si>
  <si>
    <t>GS STALL</t>
    <phoneticPr fontId="1" type="noConversion"/>
  </si>
  <si>
    <t xml:space="preserve">1. 매월 딜러 별 GS Stall 값
</t>
    <phoneticPr fontId="1" type="noConversion"/>
  </si>
  <si>
    <t xml:space="preserve">DMS_SVC_KPI_RESOURCE
1. SVC_KPI_CODE = 'SVC_GS_STALL'
</t>
    <phoneticPr fontId="1" type="noConversion"/>
  </si>
  <si>
    <t>GS MH</t>
    <phoneticPr fontId="1" type="noConversion"/>
  </si>
  <si>
    <t xml:space="preserve">1. 매월 GS 제안서의 공임시간
</t>
    <phoneticPr fontId="1" type="noConversion"/>
  </si>
  <si>
    <t xml:space="preserve">SELECT MH
FROM DMS_SVC_RO
WHERE REPAIR_TYPE_CD = '1'
AND GROUP_ID = 'KM30102'
AND PROPO_DT = '20221215
AND PROPO_SEQ = '1'
</t>
    <phoneticPr fontId="1" type="noConversion"/>
  </si>
  <si>
    <t>SVC_GS_HOUR</t>
  </si>
  <si>
    <t>1. GS 업무시간</t>
    <phoneticPr fontId="1" type="noConversion"/>
  </si>
  <si>
    <t xml:space="preserve">DMS_SVC_KPI_RESOURCE
1. SVC_KPI_CODE = 'SVC_GS_HOUR'
</t>
    <phoneticPr fontId="1" type="noConversion"/>
  </si>
  <si>
    <t>GS Labor Utilization</t>
    <phoneticPr fontId="1" type="noConversion"/>
  </si>
  <si>
    <t xml:space="preserve">1. GS 가용성 Labor Utilization
</t>
    <phoneticPr fontId="1" type="noConversion"/>
  </si>
  <si>
    <t>SVC_GS_HOUR / GS TECH / GS DAY / 8</t>
    <phoneticPr fontId="1" type="noConversion"/>
  </si>
  <si>
    <t>GS Tech Efficiency</t>
    <phoneticPr fontId="1" type="noConversion"/>
  </si>
  <si>
    <t xml:space="preserve">1. GS 효율성 Tech Efficiency
</t>
    <phoneticPr fontId="1" type="noConversion"/>
  </si>
  <si>
    <t>GS MH / SVC_GS_HOUR</t>
    <phoneticPr fontId="1" type="noConversion"/>
  </si>
  <si>
    <t>BP UNIT</t>
    <phoneticPr fontId="1" type="noConversion"/>
  </si>
  <si>
    <t xml:space="preserve">1. BPUS
</t>
    <phoneticPr fontId="1" type="noConversion"/>
  </si>
  <si>
    <t>BP DAY</t>
    <phoneticPr fontId="1" type="noConversion"/>
  </si>
  <si>
    <t>BP SA</t>
    <phoneticPr fontId="1" type="noConversion"/>
  </si>
  <si>
    <t xml:space="preserve">1. 매월 딜러 별 BP SA 값
</t>
    <phoneticPr fontId="1" type="noConversion"/>
  </si>
  <si>
    <t xml:space="preserve">DMS_SVC_KPI_RESOURCE
1. SVC_KPI_CODE = 'SVC_BP_SA'
</t>
    <phoneticPr fontId="1" type="noConversion"/>
  </si>
  <si>
    <t>BP TECH</t>
    <phoneticPr fontId="1" type="noConversion"/>
  </si>
  <si>
    <t xml:space="preserve">1. 매월 딜러 별 BP TECH 값
</t>
    <phoneticPr fontId="1" type="noConversion"/>
  </si>
  <si>
    <t xml:space="preserve">DMS_SVC_KPI_RESOURCE
1. SVC_KPI_CODE = 'SVC_BP_TECH'
</t>
    <phoneticPr fontId="1" type="noConversion"/>
  </si>
  <si>
    <t>BP STALL</t>
    <phoneticPr fontId="1" type="noConversion"/>
  </si>
  <si>
    <t xml:space="preserve">1. 매월 딜러 별 BP Stall 값
</t>
    <phoneticPr fontId="1" type="noConversion"/>
  </si>
  <si>
    <t xml:space="preserve">DMS_SVC_KPI_RESOURCE
1. SVC_KPI_CODE = 'SVC_BP_STALL'
</t>
    <phoneticPr fontId="1" type="noConversion"/>
  </si>
  <si>
    <t>BP MH</t>
    <phoneticPr fontId="1" type="noConversion"/>
  </si>
  <si>
    <t xml:space="preserve">1. 제안서의 공임시간
</t>
    <phoneticPr fontId="1" type="noConversion"/>
  </si>
  <si>
    <t xml:space="preserve">SELECT MH
FROM DMS_SVC_RO
WHERE REPAIR_TYPE_CD = '2'
AND GROUP_ID = 'KM30102'
AND PROPO_DT = '20221215
AND PROPO_SEQ = '1'
</t>
    <phoneticPr fontId="1" type="noConversion"/>
  </si>
  <si>
    <t>SVC_BP_HOUR</t>
    <phoneticPr fontId="1" type="noConversion"/>
  </si>
  <si>
    <t>1. BP 업무시간</t>
    <phoneticPr fontId="1" type="noConversion"/>
  </si>
  <si>
    <t xml:space="preserve">DMS_SVC_KPI_RESOURCE
1. SVC_KPI_CODE = 'SVC_BP_HOUR'
</t>
    <phoneticPr fontId="1" type="noConversion"/>
  </si>
  <si>
    <t>BP Labor Utilization</t>
    <phoneticPr fontId="1" type="noConversion"/>
  </si>
  <si>
    <t xml:space="preserve">1. BP 가용성 Labor Utilization
</t>
  </si>
  <si>
    <t>SVC_BP_HOUR / BP TECH / BP DAY / 8</t>
    <phoneticPr fontId="1" type="noConversion"/>
  </si>
  <si>
    <t>BP Tech Efficiency</t>
    <phoneticPr fontId="1" type="noConversion"/>
  </si>
  <si>
    <t xml:space="preserve">1. BP 효율성 Tech Efficiency
</t>
  </si>
  <si>
    <t>BP MH / SVC_BP_HOUR</t>
    <phoneticPr fontId="1" type="noConversion"/>
  </si>
  <si>
    <t>CPS</t>
  </si>
  <si>
    <t>select a.dealer_id</t>
  </si>
  <si>
    <t>확인완료</t>
    <phoneticPr fontId="1" type="noConversion"/>
  </si>
  <si>
    <t xml:space="preserve">    , sum(b.sales_amt)</t>
  </si>
  <si>
    <t>from dms_svc_ro a</t>
  </si>
  <si>
    <t xml:space="preserve">    left outer join dms_svc_ro_sales b</t>
  </si>
  <si>
    <t xml:space="preserve">    on 1=1</t>
  </si>
  <si>
    <t xml:space="preserve">    and a.group_id = b.group_id</t>
  </si>
  <si>
    <t xml:space="preserve">    and a.propo_dt = b.propo_dt</t>
  </si>
  <si>
    <t xml:space="preserve">    and a.propo_seq = b.propo_seq</t>
  </si>
  <si>
    <t>where 1=1</t>
  </si>
  <si>
    <t>and (ro_type_cd = 'F'</t>
  </si>
  <si>
    <t xml:space="preserve">     or ro_type_cd = 'Y'</t>
  </si>
  <si>
    <t xml:space="preserve">     or (a.repair_type_cd = '1' and ro_type_cd = 'I')</t>
  </si>
  <si>
    <t xml:space="preserve">     or (a.repair_type_cd = '1' and ro_type_cd = 'G'))</t>
  </si>
  <si>
    <t>and a.dealer_id = 'DT00000'</t>
  </si>
  <si>
    <t>and b.sales_dt between to_date('20230101', 'yyyymmdd') and to_date('20230131', 'yyyymmdd')</t>
  </si>
  <si>
    <t>and a.stat_cd != '99'</t>
  </si>
  <si>
    <t>group BY a.dealer_id</t>
  </si>
  <si>
    <t>SELECT dealer_id</t>
  </si>
  <si>
    <t xml:space="preserve">    , svc_kpi_code_amt</t>
  </si>
  <si>
    <t>FROM dms_svc_kpi_resource a</t>
  </si>
  <si>
    <t>WHERE 1=1</t>
  </si>
  <si>
    <t>and a.dealer_id= 'DT00000'</t>
  </si>
  <si>
    <t>and a.yyyymm= '202301'</t>
  </si>
  <si>
    <t>and svc_kpi_code_type = 'DMS_BI_SVC001'</t>
  </si>
  <si>
    <t>and svc_kpi_code = 'SVC_CPS'</t>
  </si>
  <si>
    <t>SELECT a.dealer_id</t>
  </si>
  <si>
    <t xml:space="preserve">    , count(*)</t>
  </si>
  <si>
    <t>마감데이터와 3 차이</t>
    <phoneticPr fontId="1" type="noConversion"/>
  </si>
  <si>
    <t>FROM dms_svc_ro a</t>
  </si>
  <si>
    <t>AND a.dealer_id = 'DT00000'</t>
  </si>
  <si>
    <t>and a.repair_type_cd = '1'</t>
  </si>
  <si>
    <t>AND a.propo_dt between '20230101' and '20230131'</t>
  </si>
  <si>
    <t>AND ((a.ro_close_type_cd != 'BP' and a.ro_close_type_cd = 'FMS')</t>
  </si>
  <si>
    <t xml:space="preserve">     or (a.ro_close_type_cd != 'BP' and a.ro_close_type_cd = 'PSP')</t>
  </si>
  <si>
    <t xml:space="preserve">     or (a.ro_close_type_cd != 'BP' and a.ro_close_type_cd = 'GR')</t>
  </si>
  <si>
    <t xml:space="preserve">     or (a.ro_close_type_cd != 'BP' and a.ro_close_type_cd = 'FMS_1K')</t>
  </si>
  <si>
    <t xml:space="preserve">     or (a.ro_close_type_cd != 'BP' and a.ro_close_type_cd = 'PO')</t>
  </si>
  <si>
    <t xml:space="preserve">     )</t>
  </si>
  <si>
    <t>group by a.dealer_id</t>
  </si>
  <si>
    <t>and svc_kpi_code = 'SVC_CPUS'</t>
  </si>
  <si>
    <t>GS Capacity</t>
    <phoneticPr fontId="8"/>
  </si>
  <si>
    <t>aicc 평일</t>
    <phoneticPr fontId="1" type="noConversion"/>
  </si>
  <si>
    <t>select sum(svc_kpi_code_amt) / count(*)</t>
  </si>
  <si>
    <t>확인불가</t>
    <phoneticPr fontId="1" type="noConversion"/>
  </si>
  <si>
    <t>from dms_svc_kpi_resource</t>
  </si>
  <si>
    <t>신규기능이로 비교불가</t>
    <phoneticPr fontId="1" type="noConversion"/>
  </si>
  <si>
    <t>and yyyymm = '202401'</t>
  </si>
  <si>
    <t>and dealer_id = 'DT00000'</t>
  </si>
  <si>
    <t>and svc_kpi_code = 'SVC_GR_RESV_AICC_WEEKDAY_AVG'</t>
  </si>
  <si>
    <t>aicc 주말</t>
    <phoneticPr fontId="1" type="noConversion"/>
  </si>
  <si>
    <t>workingday</t>
  </si>
  <si>
    <t>and svc_kpi_code = 'WORKING_DAY'</t>
  </si>
  <si>
    <t>TGUS</t>
  </si>
  <si>
    <t>확인필요</t>
    <phoneticPr fontId="1" type="noConversion"/>
  </si>
  <si>
    <t>마감데이터와 31차이</t>
    <phoneticPr fontId="1" type="noConversion"/>
  </si>
  <si>
    <t xml:space="preserve">     or (a.ro_close_type_cd != 'BP' and a.ro_close_type_cd = 'WT')</t>
  </si>
  <si>
    <t xml:space="preserve">     or (a.ro_close_type_cd != 'BP' and a.ro_close_type_cd = 'IT')</t>
  </si>
  <si>
    <t>CPUS/Workingday/SA</t>
  </si>
  <si>
    <t>SA</t>
  </si>
  <si>
    <t>with working_days as (</t>
  </si>
  <si>
    <t xml:space="preserve">    SELECT dealer_id</t>
  </si>
  <si>
    <t xml:space="preserve">        , svc_kpi_code_amt as amt</t>
  </si>
  <si>
    <t xml:space="preserve">    FROM dms_svc_kpi_resource a</t>
  </si>
  <si>
    <t xml:space="preserve">    WHERE 1=1</t>
  </si>
  <si>
    <t xml:space="preserve">    and a.dealer_id= 'DT00000'</t>
  </si>
  <si>
    <t xml:space="preserve">    and a.yyyymm= '202301'</t>
  </si>
  <si>
    <t xml:space="preserve">    and svc_kpi_code_type = 'DMS_BI_SVC001'</t>
  </si>
  <si>
    <t xml:space="preserve">    and svc_kpi_code = 'WORKING_DAY'</t>
  </si>
  <si>
    <t>), gs_sa as (</t>
  </si>
  <si>
    <t xml:space="preserve">    SELECT a.dealer_id</t>
    <phoneticPr fontId="1" type="noConversion"/>
  </si>
  <si>
    <t xml:space="preserve">        , sum(a.svc_kpi_code_amt) as amt</t>
  </si>
  <si>
    <t xml:space="preserve">    and svc_kpi_code_type = 'DMS_BI_SVC002'</t>
  </si>
  <si>
    <t xml:space="preserve">    and svc_kpi_code = 'SVC_GS_SA'</t>
  </si>
  <si>
    <t xml:space="preserve">    group by a.dealer_id</t>
  </si>
  <si>
    <t>), cpus as (</t>
  </si>
  <si>
    <t xml:space="preserve">    SELECT b.dealer_id</t>
  </si>
  <si>
    <t xml:space="preserve">        , count(*) as amt</t>
  </si>
  <si>
    <t xml:space="preserve">    FROM dms_svc_ro a</t>
  </si>
  <si>
    <t xml:space="preserve">        left join dms_co_dealer_v b</t>
  </si>
  <si>
    <t xml:space="preserve">        on 1=1</t>
  </si>
  <si>
    <t xml:space="preserve">        and a.dealer_id = b.dealer_id</t>
  </si>
  <si>
    <t xml:space="preserve">    AND b.dealer_id = 'DT00000'</t>
  </si>
  <si>
    <t xml:space="preserve">    and a.repair_type_cd = '1'</t>
  </si>
  <si>
    <t xml:space="preserve">    AND a.propo_dt between '20230101' and '20230131'</t>
  </si>
  <si>
    <t xml:space="preserve">    AND ((a.ro_close_type_cd != 'BP' and a.ro_close_type_cd = 'FMS')</t>
  </si>
  <si>
    <t xml:space="preserve">         or (a.ro_close_type_cd != 'BP' and a.ro_close_type_cd = 'PSP')</t>
  </si>
  <si>
    <t xml:space="preserve">         or (a.ro_close_type_cd != 'BP' and a.ro_close_type_cd = 'GR')</t>
  </si>
  <si>
    <t xml:space="preserve">         or (a.ro_close_type_cd != 'BP' and a.ro_close_type_cd = 'FMS_1K')</t>
  </si>
  <si>
    <t xml:space="preserve">         or (a.ro_close_type_cd != 'BP' and a.ro_close_type_cd = 'PO')</t>
  </si>
  <si>
    <t xml:space="preserve">         )</t>
  </si>
  <si>
    <t xml:space="preserve">    and a.stat_cd != '99'</t>
  </si>
  <si>
    <t xml:space="preserve">    group by b.dealer_id</t>
  </si>
  <si>
    <t>)</t>
  </si>
  <si>
    <t xml:space="preserve">    , a.amt</t>
  </si>
  <si>
    <t xml:space="preserve">    , b.amt</t>
  </si>
  <si>
    <t xml:space="preserve">    , c.amt</t>
  </si>
  <si>
    <t xml:space="preserve">    , trunc(a.amt / b.amt / c.amt, 2) as amt</t>
  </si>
  <si>
    <t>from cpus a</t>
  </si>
  <si>
    <t xml:space="preserve">    left outer join working_days b</t>
  </si>
  <si>
    <t xml:space="preserve">    and a.dealer_id = b.dealer_id</t>
  </si>
  <si>
    <t xml:space="preserve">    left outer join gs_sa c</t>
  </si>
  <si>
    <t xml:space="preserve">    and a.dealer_id = c.dealer_id</t>
  </si>
  <si>
    <t>CPUS/Workingday/Tech</t>
  </si>
  <si>
    <t>TECH</t>
  </si>
  <si>
    <t xml:space="preserve">    SELECT a.dealer_id</t>
  </si>
  <si>
    <t xml:space="preserve">    and svc_kpi_code = 'SVC_GS_TECH'</t>
  </si>
  <si>
    <t>CPUS/Workingday/Stall</t>
  </si>
  <si>
    <t>STALL</t>
  </si>
  <si>
    <t xml:space="preserve">    and svc_kpi_code = 'SVC_GS_STALL'</t>
  </si>
  <si>
    <t>and (a.repair_type_cd = '2' and ro_type_cd = 'I'</t>
  </si>
  <si>
    <t xml:space="preserve">     or a.repair_type_cd = '2' and ro_type_cd = 'G')</t>
  </si>
  <si>
    <t>and svc_kpi_code = 'SVC_BPS'</t>
  </si>
  <si>
    <t>마감데이터와 2차이</t>
    <phoneticPr fontId="1" type="noConversion"/>
  </si>
  <si>
    <t>AND a.ro_close_type_cd = 'BP'</t>
  </si>
  <si>
    <t>마감데이터와 1차이</t>
    <phoneticPr fontId="1" type="noConversion"/>
  </si>
  <si>
    <t>and svc_kpi_code = 'SVC_BPUS'</t>
  </si>
  <si>
    <t>BP Capacity</t>
    <phoneticPr fontId="8"/>
  </si>
  <si>
    <t>BPUS/Workingday/SA</t>
  </si>
  <si>
    <t xml:space="preserve">    and svc_kpi_code = 'SVC_BP_SA'</t>
  </si>
  <si>
    <t>), bpus as (</t>
  </si>
  <si>
    <t xml:space="preserve">    AND a.ro_close_type_cd = 'BP'</t>
  </si>
  <si>
    <t>from bpus a</t>
  </si>
  <si>
    <t>BPUS/Workingday/Tech</t>
  </si>
  <si>
    <t>Tech</t>
  </si>
  <si>
    <t xml:space="preserve">    and svc_kpi_code = 'SVC_BP_TECH'</t>
  </si>
  <si>
    <t>BPUS/Workingday/Stall</t>
  </si>
  <si>
    <t>Stall</t>
  </si>
  <si>
    <t xml:space="preserve">    and svc_kpi_code = 'SVC_BP_STALL'</t>
  </si>
  <si>
    <t>Active CRt Status</t>
  </si>
  <si>
    <t>Active CRt / UIO 비율</t>
  </si>
  <si>
    <t>with uio as (</t>
  </si>
  <si>
    <t xml:space="preserve">    select b.dealer_id</t>
  </si>
  <si>
    <t>실시간 데이터와 비교</t>
    <phoneticPr fontId="1" type="noConversion"/>
  </si>
  <si>
    <t xml:space="preserve">    from dms_sales_contract A</t>
  </si>
  <si>
    <t xml:space="preserve">        , dms_co_group_v B</t>
  </si>
  <si>
    <t xml:space="preserve">    where 1=1 </t>
  </si>
  <si>
    <t xml:space="preserve">    and a.dms_brand_cd = b.dms_brand_cd</t>
  </si>
  <si>
    <t xml:space="preserve">    and a.contract_stat_cd = 'D4'</t>
  </si>
  <si>
    <t xml:space="preserve">    and b.dealer_id='DT00000'</t>
  </si>
  <si>
    <t xml:space="preserve">    and retail_sales_dt BETWEEN to_date('202210', 'YYYYMMDD') - interval '95 MONTH'</t>
  </si>
  <si>
    <t xml:space="preserve">                        AND to_date('202210', 'YYYYMMDD') + INTERVAL '1 MONTH - 1 day'</t>
  </si>
  <si>
    <t>), active_8crt as (</t>
  </si>
  <si>
    <t xml:space="preserve">    select a.dealer_id</t>
  </si>
  <si>
    <t xml:space="preserve">        , coalesce(SUM(A.OWN_8CNT),0) + coalesce(SUM(A.OTHER_8CNT),0) amt</t>
  </si>
  <si>
    <t xml:space="preserve">    FROM (</t>
  </si>
  <si>
    <t xml:space="preserve">        SELECT  A.SALES_DEALER_ID as dealer_id</t>
  </si>
  <si>
    <t xml:space="preserve">            , A.VIN</t>
  </si>
  <si>
    <t xml:space="preserve">            , MAX(A.OWN_8CNT) OWN_8CNT</t>
  </si>
  <si>
    <t xml:space="preserve">            , case when max(a.own_8cnt) = 0</t>
  </si>
  <si>
    <t xml:space="preserve">                   then MAX(A.OTHER_8CNT)</t>
  </si>
  <si>
    <t xml:space="preserve">                   else 0</t>
  </si>
  <si>
    <t xml:space="preserve">              end as OTHER_8CNT</t>
  </si>
  <si>
    <t xml:space="preserve">            FROM (    </t>
  </si>
  <si>
    <t xml:space="preserve">                SELECT A.SALES_DEALER_ID, A.VIN</t>
  </si>
  <si>
    <t xml:space="preserve">                    , CASE WHEN A.DEALER_ID=A.SALES_DEALER_ID THEN 1 ELSE 0 END AS OWN_8CNT</t>
  </si>
  <si>
    <t xml:space="preserve">                    , CASE WHEN A.DEALER_ID!=A.SALES_DEALER_ID THEN 1 ELSE 0 END AS OTHER_8CNT</t>
  </si>
  <si>
    <t xml:space="preserve">                FROM (    </t>
  </si>
  <si>
    <t xml:space="preserve">                    SELECT DISTINCT C.DEALER_ID AS DEALER_ID </t>
  </si>
  <si>
    <t xml:space="preserve">                        , case when D.DEALER_ID = 'SK00000'</t>
  </si>
  <si>
    <t xml:space="preserve">                               then 'DT00000'</t>
  </si>
  <si>
    <t xml:space="preserve">                               else D.DEALER_ID</t>
  </si>
  <si>
    <t xml:space="preserve">                          end as  SALES_DEALER_ID</t>
  </si>
  <si>
    <t xml:space="preserve">                        , A.VIN, A.RO_CLOSE_DT, E.RETAIL_SALES_DT</t>
  </si>
  <si>
    <t xml:space="preserve">                    FROM DMS_SVC_RO A</t>
  </si>
  <si>
    <t xml:space="preserve">                        , DMS_CO_VEHIC B</t>
  </si>
  <si>
    <t xml:space="preserve">                        , dms_co_group_v C</t>
  </si>
  <si>
    <t xml:space="preserve">                        , dms_co_group_v D</t>
  </si>
  <si>
    <t xml:space="preserve">                        , DMS_SALES_CONTRACT E</t>
  </si>
  <si>
    <t xml:space="preserve">                    WHERE A.REPAIR_TYPE_CD='1'</t>
  </si>
  <si>
    <t xml:space="preserve">                    AND A.RO_CLOSE_DT BETWEEN to_date('202210', 'YYYYMMDD') - interval '11 MONTH' AND to_date('202210', 'YYYYMMDD') + INTERVAL '1 MONTH - 1 day'</t>
  </si>
  <si>
    <t xml:space="preserve">                    AND A.VIN=B.VIN</t>
  </si>
  <si>
    <t xml:space="preserve">                    AND A.VIN=E.VIN</t>
  </si>
  <si>
    <t xml:space="preserve">                    AND A.GROUP_ID=C.GROUP_ID</t>
  </si>
  <si>
    <t xml:space="preserve">                    AND B.SALES_DEALER_ID=D.GROUP_ID</t>
  </si>
  <si>
    <t xml:space="preserve">                    AND B.LINEOFF_DT IS NOT NULL</t>
  </si>
  <si>
    <t xml:space="preserve">                    and a.stat_cd != '99'</t>
  </si>
  <si>
    <t xml:space="preserve">                    AND RETAIL_SALES_DT BETWEEN to_date('202210', 'YYYYMMDD') - interval '95 MONTH'</t>
  </si>
  <si>
    <t xml:space="preserve">                                        AND to_date('202210', 'YYYYMMDD') + INTERVAL '1 MONTH - 1 day'</t>
  </si>
  <si>
    <t xml:space="preserve">                    AND RETAIL_SALES_DT BETWEEN A.RO_CLOSE_DT - interval '95 MONTH'</t>
  </si>
  <si>
    <t xml:space="preserve">                                        AND A.RO_CLOSE_DT + INTERVAL '1 MONTH - 1 day'</t>
  </si>
  <si>
    <t xml:space="preserve">                ) A</t>
  </si>
  <si>
    <t xml:space="preserve">                WHERE A.SALES_DEALER_ID='DT00000'</t>
  </si>
  <si>
    <t xml:space="preserve">            ) A                </t>
  </si>
  <si>
    <t xml:space="preserve">            WHERE 1=1</t>
  </si>
  <si>
    <t xml:space="preserve">        GROUP BY A.SALES_DEALER_ID, A.VIN</t>
  </si>
  <si>
    <t xml:space="preserve">    ) A</t>
  </si>
  <si>
    <t xml:space="preserve">    group by dealer_id</t>
  </si>
  <si>
    <t xml:space="preserve">    , trunc((b.amt::numeric / a.amt::numeric) * 100, 2) as amt</t>
  </si>
  <si>
    <t>from uio a</t>
  </si>
  <si>
    <t xml:space="preserve">    left outer join active_8crt b</t>
  </si>
  <si>
    <t>and a.dealer_id = b.dealer_id</t>
  </si>
  <si>
    <t>and a.yyyymm= '202210'</t>
  </si>
  <si>
    <t>and svc_kpi_code = 'SVC_ACTIVE_CRT'</t>
  </si>
  <si>
    <t>위 조건과 동일</t>
  </si>
  <si>
    <t>CPS / CPUS</t>
  </si>
  <si>
    <t>BPS / BPUS</t>
  </si>
  <si>
    <t>FMS UNIT</t>
    <phoneticPr fontId="1" type="noConversion"/>
  </si>
  <si>
    <t>FMS SALES</t>
    <phoneticPr fontId="8"/>
  </si>
  <si>
    <t>select sum(sales_amt)</t>
  </si>
  <si>
    <t xml:space="preserve">    left join dms_svc_ro_sales b</t>
  </si>
  <si>
    <t>and b.ro_type_cd = 'F'</t>
  </si>
  <si>
    <t>and b.sales_dt between to_date('20230101', 'YYYYMMDD') and to_date('20221231', 'YYYYMMDD')</t>
  </si>
  <si>
    <t>PSP UNIT</t>
    <phoneticPr fontId="1" type="noConversion"/>
  </si>
  <si>
    <t>AND (a.ro_close_type_cd != 'BP' and a.ro_close_type_cd = 'PSP')</t>
  </si>
  <si>
    <t>PSP SALES</t>
    <phoneticPr fontId="8"/>
  </si>
  <si>
    <t>and b.ro_type_cd = 'Y'</t>
  </si>
  <si>
    <t>GR UNIT</t>
    <phoneticPr fontId="1" type="noConversion"/>
  </si>
  <si>
    <t>마감데이터 1 차이</t>
    <phoneticPr fontId="1" type="noConversion"/>
  </si>
  <si>
    <t>and ((a.ro_close_type_cd != 'BP' and a.ro_close_type_cd = 'GR')</t>
  </si>
  <si>
    <t>GR SALES</t>
    <phoneticPr fontId="8"/>
  </si>
  <si>
    <t>and (b.ro_type_cd = 'G' or b.ro_type_cd = 'I')</t>
  </si>
  <si>
    <t>CPS Target / CPUS Target</t>
  </si>
  <si>
    <t>Light unit sales</t>
  </si>
  <si>
    <t>select count(distinct a.group_id||a.propo_dt||a.vin)</t>
  </si>
  <si>
    <t>실시간 데이터로 확인필요</t>
    <phoneticPr fontId="1" type="noConversion"/>
  </si>
  <si>
    <t>from (select a.dms_brand_cd</t>
  </si>
  <si>
    <t xml:space="preserve">          , a.dealer_id</t>
  </si>
  <si>
    <t xml:space="preserve">          , a.group_id</t>
  </si>
  <si>
    <t xml:space="preserve">          , a.propo_dt</t>
  </si>
  <si>
    <t xml:space="preserve">          , a.propo_seq</t>
  </si>
  <si>
    <t xml:space="preserve">          , a.repair_type_cd</t>
  </si>
  <si>
    <t xml:space="preserve">          , a.vin</t>
  </si>
  <si>
    <t xml:space="preserve">          , coalesce(sum(a.cnfm_labor_amt) over (partition by a.group_id, a.propo_dt, a.vin), 0) as sum_cnfm_labor_amt</t>
  </si>
  <si>
    <t xml:space="preserve">      from dms_svc_ro a</t>
  </si>
  <si>
    <t xml:space="preserve">      where 1=1</t>
  </si>
  <si>
    <t xml:space="preserve">      and a.repair_type_cd = '2'</t>
  </si>
  <si>
    <t xml:space="preserve">      and a.stat_cd != '99'</t>
  </si>
  <si>
    <t xml:space="preserve">      group by a.dms_brand_cd</t>
  </si>
  <si>
    <t xml:space="preserve">          , a.cnfm_labor_amt) a</t>
  </si>
  <si>
    <t>and a.propo_dt between '20230101' and '20230131'</t>
  </si>
  <si>
    <t>and a.sum_cnfm_labor_amt &lt; 1000000</t>
  </si>
  <si>
    <t>Medium unit sales</t>
  </si>
  <si>
    <t>and a.sum_cnfm_labor_amt between 1000000 and 2000000</t>
    <phoneticPr fontId="1" type="noConversion"/>
  </si>
  <si>
    <t>Heavy unit sales</t>
  </si>
  <si>
    <t>and a.sum_cnfm_labor_amt &gt; 2000000</t>
  </si>
  <si>
    <t>Light sales</t>
    <phoneticPr fontId="1" type="noConversion"/>
  </si>
  <si>
    <t>select sum(b.sales_amt)</t>
  </si>
  <si>
    <t xml:space="preserve">          , sum(a.cnfm_labor_amt) over (partition by a.group_id, a.propo_dt, a.vin) as sum_cnfm_labor_amt</t>
  </si>
  <si>
    <t>and a.propo_dt between '20230101' and '20221231'</t>
  </si>
  <si>
    <t>and a.sum_cnfm_labor_amt &lt; 1000000</t>
    <phoneticPr fontId="1" type="noConversion"/>
  </si>
  <si>
    <t>Medium sales</t>
    <phoneticPr fontId="1" type="noConversion"/>
  </si>
  <si>
    <t>from (select a.dms_brand_cd</t>
    <phoneticPr fontId="1" type="noConversion"/>
  </si>
  <si>
    <t>`</t>
  </si>
  <si>
    <t>and a.cnfm_labor_amt between 1000000 AND 2000000</t>
  </si>
  <si>
    <t>Heavy sales</t>
    <phoneticPr fontId="1" type="noConversion"/>
  </si>
  <si>
    <t>and a.sum_cnfm_labor_amt  &gt; 2000000</t>
    <phoneticPr fontId="1" type="noConversion"/>
  </si>
  <si>
    <t>BPS Target / BPUS Target</t>
  </si>
  <si>
    <t>Active CRt / UIO 비율</t>
    <phoneticPr fontId="1" type="noConversion"/>
  </si>
  <si>
    <t>OWN CRt / UIO 비율</t>
  </si>
  <si>
    <t>select count(*)</t>
  </si>
  <si>
    <t>from dms_sales_contract a</t>
  </si>
  <si>
    <t>and contract_stat_cd = 'D4'</t>
  </si>
  <si>
    <t xml:space="preserve">and to_char(retail_sales_dt, 'yyyymm') between to_char(to_date('20231030', 'yyyymmdd') - '7 years 11 mons'::interval, 'yyyymm') </t>
    <phoneticPr fontId="1" type="noConversion"/>
  </si>
  <si>
    <t xml:space="preserve">                                                   and to_char(to_date('20231030', 'yyyymmdd') + '1 mon -1 days'::interval, 'yyyymm')</t>
    <phoneticPr fontId="1" type="noConversion"/>
  </si>
  <si>
    <t>No. of Active Cust.</t>
  </si>
  <si>
    <t>Active CRt 수</t>
    <phoneticPr fontId="1" type="noConversion"/>
  </si>
  <si>
    <t>FMS ratio</t>
  </si>
  <si>
    <t>FMS / Active CRt</t>
    <phoneticPr fontId="1" type="noConversion"/>
  </si>
  <si>
    <t>select SALES_DEALER_ID as dealer_id</t>
  </si>
  <si>
    <t xml:space="preserve">    , sum(val) as val</t>
  </si>
  <si>
    <t>from (</t>
  </si>
  <si>
    <t xml:space="preserve">    select A.SALES_DEALER_ID</t>
  </si>
  <si>
    <t xml:space="preserve">            , substring(OWN_TYPE_CD, 4) as OWN_TYPE_CD</t>
  </si>
  <si>
    <t xml:space="preserve">            , substring(RO_CLOSE_CRT_CD, 4) as RO_CLOSE_CRT_CD</t>
  </si>
  <si>
    <t xml:space="preserve">            , COUNT(*) as VAL</t>
  </si>
  <si>
    <t xml:space="preserve">    from (</t>
  </si>
  <si>
    <t xml:space="preserve">            SELECT A.SALES_DEALER_ID, A.VIN</t>
  </si>
  <si>
    <t xml:space="preserve">                , MIN(OWN_TYPE_CD) as OWN_TYPE_CD</t>
  </si>
  <si>
    <t xml:space="preserve">                , MIN(RO_CLOSE_CRT_CD) as RO_CLOSE_CRT_CD</t>
  </si>
  <si>
    <t xml:space="preserve">            FROM (</t>
  </si>
  <si>
    <t xml:space="preserve">                SELECT SALES_DEALER_ID</t>
  </si>
  <si>
    <t xml:space="preserve">                    , VIN</t>
  </si>
  <si>
    <t xml:space="preserve">                    , case A.DEALER_ID when A.SALES_DEALER_ID then '01_OWN' else '02_OTH' end AS OWN_TYPE_CD</t>
  </si>
  <si>
    <t xml:space="preserve">                    , CASE WHEN RO_CLOSE_CRT_CD = 'FMS'</t>
  </si>
  <si>
    <t xml:space="preserve">                           THEN '01_FMS'</t>
  </si>
  <si>
    <t xml:space="preserve">                           WHEN RO_CLOSE_CRT_CD = 'PSP'</t>
  </si>
  <si>
    <t xml:space="preserve">                           THEN '02_PSP'</t>
  </si>
  <si>
    <t xml:space="preserve">                           WHEN RO_CLOSE_CRT_CD = 'PO'</t>
  </si>
  <si>
    <t xml:space="preserve">                           THEN '03_PO'</t>
  </si>
  <si>
    <t xml:space="preserve">                           WHEN RO_CLOSE_CRT_CD = 'GR'</t>
  </si>
  <si>
    <t xml:space="preserve">                           THEN '04_GR'</t>
  </si>
  <si>
    <t xml:space="preserve">                           WHEN RO_CLOSE_CRT_CD = 'WT'</t>
  </si>
  <si>
    <t xml:space="preserve">                           THEN '05_WT'</t>
  </si>
  <si>
    <t xml:space="preserve">                           WHEN RO_CLOSE_CRT_CD = 'FMS_1K'</t>
  </si>
  <si>
    <t xml:space="preserve">                           THEN '06_FMS_1K'</t>
  </si>
  <si>
    <t xml:space="preserve">                           WHEN RO_CLOSE_CRT_CD = 'IT'</t>
  </si>
  <si>
    <t xml:space="preserve">                           THEN '07_IT'</t>
  </si>
  <si>
    <t xml:space="preserve">                           ELSE '09_BP'</t>
  </si>
  <si>
    <t xml:space="preserve">                      END AS RO_CLOSE_CRT_CD</t>
  </si>
  <si>
    <t xml:space="preserve">                    SELECT DISTINCT C.DEALER_ID AS DEALER_ID</t>
  </si>
  <si>
    <t xml:space="preserve">                        , A.VIN, A.RO_CLOSE_DT, E.RETAIL_SALES_DT, RO_CLOSE_CRT_CD</t>
  </si>
  <si>
    <t xml:space="preserve">                    AND A.RO_CLOSE_DT BETWEEN to_date('202310', 'YYYYMMDD') - interval '11 MONTH' AND to_date('202310', 'YYYYMMDD') + INTERVAL '1 MONTH - 1 day'</t>
    <phoneticPr fontId="1" type="noConversion"/>
  </si>
  <si>
    <t xml:space="preserve">                    AND RETAIL_SALES_DT BETWEEN to_date('202310', 'YYYYMMDD') - interval '95 MONTH'</t>
    <phoneticPr fontId="1" type="noConversion"/>
  </si>
  <si>
    <t xml:space="preserve">                                        AND to_date('202310', 'YYYYMMDD') + INTERVAL '1 MONTH - 1 day'</t>
  </si>
  <si>
    <t xml:space="preserve">                WHERE 1=1</t>
  </si>
  <si>
    <t xml:space="preserve">                AND A.SALES_DEALER_ID = 'DT00000'</t>
  </si>
  <si>
    <t xml:space="preserve">            ) A</t>
  </si>
  <si>
    <t xml:space="preserve">            GROUP BY A.SALES_DEALER_ID, A.VIN</t>
  </si>
  <si>
    <t xml:space="preserve">    where 1=1</t>
  </si>
  <si>
    <t xml:space="preserve">    group by A.SALES_DEALER_ID</t>
  </si>
  <si>
    <t xml:space="preserve">        , A.OWN_TYPE_CD</t>
  </si>
  <si>
    <t xml:space="preserve">        , A.RO_CLOSE_CRT_CD</t>
  </si>
  <si>
    <t>) A</t>
  </si>
  <si>
    <t>and ro_close_crt_cd in('FMS', 'FMS_1K')</t>
    <phoneticPr fontId="1" type="noConversion"/>
  </si>
  <si>
    <t>group by dealer_id</t>
  </si>
  <si>
    <t xml:space="preserve">                    AND A.RO_CLOSE_DT BETWEEN to_date('202310', 'YYYYMMDD') - interval '11 MONTH' AND to_date('202310', 'YYYYMMDD') + INTERVAL '1 MONTH - 1 day'</t>
  </si>
  <si>
    <t xml:space="preserve">                    AND RETAIL_SALES_DT BETWEEN to_date('202310', 'YYYYMMDD') - interval '95 MONTH'</t>
  </si>
  <si>
    <t>and ro_close_crt_cd = 'PSP'</t>
    <phoneticPr fontId="1" type="noConversion"/>
  </si>
  <si>
    <t>and ro_close_crt_cd in ('GR', 'PO')</t>
    <phoneticPr fontId="1" type="noConversion"/>
  </si>
  <si>
    <t>FMS+1M 1 Year</t>
    <phoneticPr fontId="8"/>
  </si>
  <si>
    <t xml:space="preserve">                    and to_char(retail_sales_dt, 'yyyy') = '2023'</t>
  </si>
  <si>
    <t>and ro_close_crt_cd in ('FMS', 'FMS_1K')</t>
  </si>
  <si>
    <t>PSP 1 Year</t>
    <phoneticPr fontId="8"/>
  </si>
  <si>
    <t>and ro_close_crt_cd in ('PSP')</t>
    <phoneticPr fontId="1" type="noConversion"/>
  </si>
  <si>
    <t>GR 1 Year</t>
    <phoneticPr fontId="8"/>
  </si>
  <si>
    <t>Warranty 1 Year</t>
    <phoneticPr fontId="8"/>
  </si>
  <si>
    <t>and ro_close_crt_cd in ('WT')</t>
    <phoneticPr fontId="1" type="noConversion"/>
  </si>
  <si>
    <t>UIO 1 Year</t>
    <phoneticPr fontId="1" type="noConversion"/>
  </si>
  <si>
    <t xml:space="preserve">and to_char(retail_sales_dt, 'yyyymm') between to_char(to_date('20231030', 'yyyymmdd') - '7 years 11 mons'::interval, 'yyyymm') </t>
  </si>
  <si>
    <t xml:space="preserve">                                                   and to_char(to_date('20231030', 'yyyymmdd') + '1 mon -1 days'::interval, 'yyyymm')</t>
  </si>
  <si>
    <t>and to_char(retail_sales_dt, 'yyyy') = '2023'</t>
  </si>
  <si>
    <t>Capacity</t>
    <phoneticPr fontId="8"/>
  </si>
  <si>
    <t>-- PM
SELECT b.dealer_id
    , count(*)
FROM dms_svc_ro a
    left join dms_co_dealer_v b
    on 1=1
    and a.dealer_id = b.dealer_id
WHERE 1=1
AND b.dealer_id = 'DT00000'
and a.repair_type_cd = '1'
AND a.propo_dt between '20230101' and '20230131'
AND ((a.ro_close_type_cd != 'BP' and a.ro_close_type_cd = 'FMS')
     or (a.ro_close_type_cd != 'BP' and a.ro_close_type_cd = 'PSP')
     or (a.ro_close_type_cd != 'BP' and a.ro_close_type_cd = 'FMS_1K')
     or (a.ro_close_type_cd != 'BP' and a.ro_close_type_cd = 'PO')
     )
and a.stat_cd != '99'
group by b.dealer_id</t>
  </si>
  <si>
    <t>Appointment L/T</t>
  </si>
  <si>
    <t>평일</t>
    <phoneticPr fontId="1" type="noConversion"/>
  </si>
  <si>
    <t>and svc_kpi_code = 'SVC_GR_RESV_WEEKDAY_AVG'</t>
    <phoneticPr fontId="1" type="noConversion"/>
  </si>
  <si>
    <t>주말</t>
    <phoneticPr fontId="1" type="noConversion"/>
  </si>
  <si>
    <t>and svc_kpi_code = 'SVC_GR_RESV_WEEKEND_AVG'</t>
    <phoneticPr fontId="1" type="noConversion"/>
  </si>
  <si>
    <t>and svc_kpi_code = 'SVC_GR_RESV_AICC_WEEKEND_AVG'</t>
    <phoneticPr fontId="1" type="noConversion"/>
  </si>
  <si>
    <t>CPUS/day/SA</t>
    <phoneticPr fontId="1" type="noConversion"/>
  </si>
  <si>
    <t>위 GS - CPUS/Workingday/SA 조건과 동일</t>
    <phoneticPr fontId="1" type="noConversion"/>
  </si>
  <si>
    <t>CPUS/day/Tech</t>
    <phoneticPr fontId="1" type="noConversion"/>
  </si>
  <si>
    <t>위 GS - CPUS/Workingday/Tech 조건과 동일</t>
    <phoneticPr fontId="1" type="noConversion"/>
  </si>
  <si>
    <t>CPUS/day/Stall</t>
    <phoneticPr fontId="1" type="noConversion"/>
  </si>
  <si>
    <t>위 GS - CPUS/Workingday/Stall 조건과 동일</t>
    <phoneticPr fontId="1" type="noConversion"/>
  </si>
  <si>
    <t>BPUS/day/SA</t>
  </si>
  <si>
    <t>위 BP - BPUS/Workingday/SA 조건과 동일</t>
    <phoneticPr fontId="1" type="noConversion"/>
  </si>
  <si>
    <t>BPUS/day/Tech</t>
  </si>
  <si>
    <t>위 BP - BPUS/Workingday/Tech 조건과 동일</t>
  </si>
  <si>
    <t>BPUS/day/Stall</t>
  </si>
  <si>
    <t>위 BP - BPUS/Workingday/Stall 조건과 동일</t>
  </si>
  <si>
    <t xml:space="preserve">    , sum(a.svc_kpi_code_amt) as amt</t>
  </si>
  <si>
    <t>and svc_kpi_code_type = 'DMS_BI_SVC002'</t>
  </si>
  <si>
    <t>and svc_kpi_code = 'SVC_GS_SA'</t>
  </si>
  <si>
    <t>and svc_kpi_code = 'SVC_GS_STALL'</t>
  </si>
  <si>
    <t>and svc_kpi_code = 'SVC_GS_TECH'</t>
  </si>
  <si>
    <t>and svc_kpi_code = 'SVC_BP_SA'</t>
  </si>
  <si>
    <t>and svc_kpi_code = 'SVC_BP_STALL'</t>
  </si>
  <si>
    <t>and svc_kpi_code = 'SVC_BP_TECH'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</si>
</sst>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#,##0.0"/>
    <numFmt numFmtId="178" formatCode="0.0%"/>
  </numFmts>
  <fonts count="3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name val="맑은 고딕"/>
      <family val="2"/>
      <scheme val="major"/>
    </font>
    <font>
      <sz val="11"/>
      <name val="맑은 고딕"/>
      <family val="2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3"/>
      <charset val="129"/>
    </font>
    <font>
      <sz val="6"/>
      <name val="맑은 고딕"/>
      <family val="2"/>
      <charset val="128"/>
      <scheme val="minor"/>
    </font>
    <font>
      <sz val="11"/>
      <color rgb="FF000000"/>
      <name val="맑은 고딕"/>
      <family val="3"/>
      <charset val="129"/>
    </font>
    <font>
      <sz val="11"/>
      <color rgb="FF444444"/>
      <name val="맑은 고딕"/>
      <family val="3"/>
      <charset val="129"/>
    </font>
    <font>
      <sz val="11"/>
      <color rgb="FFFF0000"/>
      <name val="맑은 고딕"/>
      <family val="3"/>
      <charset val="129"/>
    </font>
    <font>
      <u/>
      <sz val="11"/>
      <color theme="10"/>
      <name val="맑은 고딕"/>
      <family val="2"/>
      <charset val="128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1"/>
      <color rgb="FF00000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u/>
      <sz val="11"/>
      <color theme="10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  <font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ajor"/>
    </font>
    <font>
      <sz val="14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hair">
        <color theme="1"/>
      </bottom>
      <diagonal/>
    </border>
    <border>
      <left style="thin">
        <color theme="1"/>
      </left>
      <right/>
      <top/>
      <bottom style="hair">
        <color theme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/>
      <right style="thin">
        <color theme="1"/>
      </right>
      <top/>
      <bottom style="hair">
        <color theme="1"/>
      </bottom>
      <diagonal/>
    </border>
    <border>
      <left style="thin">
        <color theme="1"/>
      </left>
      <right/>
      <top style="hair">
        <color theme="1"/>
      </top>
      <bottom style="hair">
        <color theme="1"/>
      </bottom>
      <diagonal/>
    </border>
    <border>
      <left/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/>
      <right style="thin">
        <color theme="1"/>
      </right>
      <top style="thin">
        <color theme="1"/>
      </top>
      <bottom style="hair">
        <color theme="1"/>
      </bottom>
      <diagonal/>
    </border>
    <border>
      <left/>
      <right style="thin">
        <color theme="1"/>
      </right>
      <top style="hair">
        <color theme="1"/>
      </top>
      <bottom style="thin">
        <color indexed="64"/>
      </bottom>
      <diagonal/>
    </border>
    <border>
      <left style="thin">
        <color theme="1"/>
      </left>
      <right/>
      <top style="hair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hair">
        <color theme="1"/>
      </top>
      <bottom/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7" fillId="0" borderId="1" xfId="1" applyFont="1" applyBorder="1">
      <alignment vertical="center"/>
    </xf>
    <xf numFmtId="0" fontId="7" fillId="3" borderId="1" xfId="1" applyFont="1" applyFill="1" applyBorder="1">
      <alignment vertical="center"/>
    </xf>
    <xf numFmtId="0" fontId="7" fillId="0" borderId="0" xfId="1" applyFont="1">
      <alignment vertical="center"/>
    </xf>
    <xf numFmtId="0" fontId="7" fillId="0" borderId="1" xfId="1" applyFont="1" applyBorder="1" applyAlignment="1">
      <alignment horizontal="center" vertical="center" wrapText="1"/>
    </xf>
    <xf numFmtId="0" fontId="7" fillId="0" borderId="2" xfId="1" applyFont="1" applyBorder="1">
      <alignment vertical="center"/>
    </xf>
    <xf numFmtId="0" fontId="7" fillId="3" borderId="2" xfId="1" applyFont="1" applyFill="1" applyBorder="1">
      <alignment vertical="center"/>
    </xf>
    <xf numFmtId="0" fontId="7" fillId="3" borderId="0" xfId="1" applyFont="1" applyFill="1">
      <alignment vertical="center"/>
    </xf>
    <xf numFmtId="0" fontId="9" fillId="3" borderId="0" xfId="1" applyFont="1" applyFill="1">
      <alignment vertical="center"/>
    </xf>
    <xf numFmtId="0" fontId="10" fillId="3" borderId="0" xfId="1" applyFont="1" applyFill="1">
      <alignment vertical="center"/>
    </xf>
    <xf numFmtId="0" fontId="7" fillId="3" borderId="0" xfId="1" applyFont="1" applyFill="1" applyAlignment="1">
      <alignment vertical="center" wrapText="1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 wrapText="1"/>
    </xf>
    <xf numFmtId="0" fontId="7" fillId="5" borderId="1" xfId="1" applyFont="1" applyFill="1" applyBorder="1">
      <alignment vertical="center"/>
    </xf>
    <xf numFmtId="0" fontId="11" fillId="3" borderId="1" xfId="1" applyFont="1" applyFill="1" applyBorder="1">
      <alignment vertical="center"/>
    </xf>
    <xf numFmtId="0" fontId="11" fillId="5" borderId="1" xfId="1" applyFont="1" applyFill="1" applyBorder="1">
      <alignment vertical="center"/>
    </xf>
    <xf numFmtId="0" fontId="2" fillId="0" borderId="0" xfId="1" applyFont="1">
      <alignment vertical="center"/>
    </xf>
    <xf numFmtId="0" fontId="2" fillId="6" borderId="7" xfId="1" applyFont="1" applyFill="1" applyBorder="1">
      <alignment vertical="center"/>
    </xf>
    <xf numFmtId="0" fontId="2" fillId="6" borderId="4" xfId="1" applyFont="1" applyFill="1" applyBorder="1">
      <alignment vertical="center"/>
    </xf>
    <xf numFmtId="0" fontId="2" fillId="0" borderId="9" xfId="1" applyFont="1" applyBorder="1">
      <alignment vertical="center"/>
    </xf>
    <xf numFmtId="0" fontId="2" fillId="0" borderId="10" xfId="1" applyFont="1" applyBorder="1">
      <alignment vertical="center"/>
    </xf>
    <xf numFmtId="0" fontId="2" fillId="0" borderId="11" xfId="1" applyFont="1" applyBorder="1">
      <alignment vertical="center"/>
    </xf>
    <xf numFmtId="0" fontId="2" fillId="0" borderId="12" xfId="1" applyFont="1" applyBorder="1" applyAlignment="1">
      <alignment vertical="center" wrapText="1"/>
    </xf>
    <xf numFmtId="0" fontId="2" fillId="0" borderId="12" xfId="1" applyFont="1" applyBorder="1">
      <alignment vertical="center"/>
    </xf>
    <xf numFmtId="0" fontId="2" fillId="0" borderId="13" xfId="1" applyFont="1" applyBorder="1">
      <alignment vertical="center"/>
    </xf>
    <xf numFmtId="0" fontId="2" fillId="0" borderId="14" xfId="1" applyFont="1" applyBorder="1">
      <alignment vertical="center"/>
    </xf>
    <xf numFmtId="0" fontId="2" fillId="0" borderId="15" xfId="1" applyFont="1" applyBorder="1">
      <alignment vertical="center"/>
    </xf>
    <xf numFmtId="0" fontId="2" fillId="0" borderId="16" xfId="1" applyFont="1" applyBorder="1">
      <alignment vertical="center"/>
    </xf>
    <xf numFmtId="0" fontId="2" fillId="0" borderId="17" xfId="1" applyFont="1" applyBorder="1">
      <alignment vertical="center"/>
    </xf>
    <xf numFmtId="0" fontId="2" fillId="0" borderId="14" xfId="1" applyFont="1" applyBorder="1" applyAlignment="1">
      <alignment vertical="center" wrapText="1"/>
    </xf>
    <xf numFmtId="0" fontId="2" fillId="0" borderId="18" xfId="1" applyFont="1" applyBorder="1" applyAlignment="1">
      <alignment vertical="center" wrapText="1"/>
    </xf>
    <xf numFmtId="0" fontId="2" fillId="0" borderId="18" xfId="1" applyFont="1" applyBorder="1">
      <alignment vertical="center"/>
    </xf>
    <xf numFmtId="0" fontId="2" fillId="0" borderId="19" xfId="1" applyFont="1" applyBorder="1" applyAlignment="1">
      <alignment vertical="center" wrapText="1"/>
    </xf>
    <xf numFmtId="0" fontId="2" fillId="0" borderId="20" xfId="1" applyFont="1" applyBorder="1">
      <alignment vertical="center"/>
    </xf>
    <xf numFmtId="0" fontId="2" fillId="0" borderId="19" xfId="1" applyFont="1" applyBorder="1">
      <alignment vertical="center"/>
    </xf>
    <xf numFmtId="0" fontId="2" fillId="0" borderId="18" xfId="1" applyFont="1" applyBorder="1" applyAlignment="1">
      <alignment horizontal="left" vertical="top" wrapText="1"/>
    </xf>
    <xf numFmtId="0" fontId="17" fillId="0" borderId="14" xfId="1" applyFont="1" applyBorder="1" applyAlignment="1">
      <alignment vertical="center" wrapText="1"/>
    </xf>
    <xf numFmtId="0" fontId="2" fillId="0" borderId="18" xfId="1" applyFont="1" applyBorder="1" applyAlignment="1">
      <alignment vertical="top" wrapText="1"/>
    </xf>
    <xf numFmtId="0" fontId="18" fillId="0" borderId="14" xfId="1" applyFont="1" applyBorder="1" applyAlignment="1">
      <alignment vertical="center" wrapText="1"/>
    </xf>
    <xf numFmtId="0" fontId="2" fillId="0" borderId="21" xfId="1" applyFont="1" applyBorder="1">
      <alignment vertical="center"/>
    </xf>
    <xf numFmtId="0" fontId="19" fillId="0" borderId="14" xfId="2" applyFont="1" applyBorder="1">
      <alignment vertical="center"/>
    </xf>
    <xf numFmtId="0" fontId="2" fillId="4" borderId="13" xfId="1" applyFont="1" applyFill="1" applyBorder="1">
      <alignment vertical="center"/>
    </xf>
    <xf numFmtId="0" fontId="21" fillId="7" borderId="3" xfId="1" applyFont="1" applyFill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0" fontId="23" fillId="4" borderId="3" xfId="1" applyFont="1" applyFill="1" applyBorder="1" applyAlignment="1">
      <alignment horizontal="center" vertical="center"/>
    </xf>
    <xf numFmtId="0" fontId="23" fillId="0" borderId="3" xfId="1" applyFont="1" applyBorder="1" applyAlignment="1">
      <alignment horizontal="center" vertical="center" wrapText="1"/>
    </xf>
    <xf numFmtId="178" fontId="21" fillId="3" borderId="3" xfId="1" applyNumberFormat="1" applyFont="1" applyFill="1" applyBorder="1" applyAlignment="1">
      <alignment horizontal="center" vertical="center"/>
    </xf>
    <xf numFmtId="0" fontId="21" fillId="3" borderId="3" xfId="1" applyFont="1" applyFill="1" applyBorder="1" applyAlignment="1">
      <alignment horizontal="center" vertical="center"/>
    </xf>
    <xf numFmtId="176" fontId="21" fillId="3" borderId="3" xfId="1" applyNumberFormat="1" applyFont="1" applyFill="1" applyBorder="1" applyAlignment="1">
      <alignment horizontal="center" vertical="center"/>
    </xf>
    <xf numFmtId="177" fontId="21" fillId="3" borderId="3" xfId="1" applyNumberFormat="1" applyFont="1" applyFill="1" applyBorder="1" applyAlignment="1">
      <alignment horizontal="center" vertical="center"/>
    </xf>
    <xf numFmtId="9" fontId="21" fillId="3" borderId="3" xfId="1" applyNumberFormat="1" applyFont="1" applyFill="1" applyBorder="1" applyAlignment="1">
      <alignment horizontal="center" vertical="center"/>
    </xf>
    <xf numFmtId="3" fontId="21" fillId="3" borderId="3" xfId="1" applyNumberFormat="1" applyFont="1" applyFill="1" applyBorder="1" applyAlignment="1">
      <alignment horizontal="center" vertical="center"/>
    </xf>
    <xf numFmtId="0" fontId="23" fillId="3" borderId="0" xfId="0" applyFont="1" applyFill="1">
      <alignment vertical="center"/>
    </xf>
    <xf numFmtId="0" fontId="20" fillId="0" borderId="0" xfId="1" applyFont="1" applyAlignment="1">
      <alignment vertical="center" wrapText="1"/>
    </xf>
    <xf numFmtId="178" fontId="21" fillId="8" borderId="3" xfId="1" applyNumberFormat="1" applyFont="1" applyFill="1" applyBorder="1" applyAlignment="1">
      <alignment horizontal="center" vertical="center"/>
    </xf>
    <xf numFmtId="0" fontId="21" fillId="8" borderId="3" xfId="1" applyFont="1" applyFill="1" applyBorder="1" applyAlignment="1">
      <alignment horizontal="center" vertical="center"/>
    </xf>
    <xf numFmtId="176" fontId="21" fillId="8" borderId="3" xfId="1" applyNumberFormat="1" applyFont="1" applyFill="1" applyBorder="1" applyAlignment="1">
      <alignment horizontal="center" vertical="center"/>
    </xf>
    <xf numFmtId="9" fontId="21" fillId="8" borderId="3" xfId="1" applyNumberFormat="1" applyFont="1" applyFill="1" applyBorder="1" applyAlignment="1">
      <alignment horizontal="center" vertical="center"/>
    </xf>
    <xf numFmtId="3" fontId="21" fillId="8" borderId="3" xfId="1" applyNumberFormat="1" applyFont="1" applyFill="1" applyBorder="1" applyAlignment="1">
      <alignment horizontal="center" vertical="center"/>
    </xf>
    <xf numFmtId="0" fontId="23" fillId="8" borderId="3" xfId="1" applyFont="1" applyFill="1" applyBorder="1" applyAlignment="1">
      <alignment horizontal="center" vertical="center" wrapText="1"/>
    </xf>
    <xf numFmtId="0" fontId="23" fillId="8" borderId="3" xfId="1" applyFont="1" applyFill="1" applyBorder="1" applyAlignment="1">
      <alignment horizontal="center" vertical="center"/>
    </xf>
    <xf numFmtId="0" fontId="25" fillId="8" borderId="3" xfId="1" applyFont="1" applyFill="1" applyBorder="1" applyAlignment="1">
      <alignment horizontal="center" vertical="center" wrapText="1"/>
    </xf>
    <xf numFmtId="0" fontId="26" fillId="8" borderId="3" xfId="1" applyFont="1" applyFill="1" applyBorder="1" applyAlignment="1">
      <alignment horizontal="center" vertical="center" wrapText="1"/>
    </xf>
    <xf numFmtId="3" fontId="27" fillId="8" borderId="3" xfId="1" applyNumberFormat="1" applyFont="1" applyFill="1" applyBorder="1" applyAlignment="1">
      <alignment horizontal="center" vertical="center"/>
    </xf>
    <xf numFmtId="178" fontId="27" fillId="8" borderId="3" xfId="1" applyNumberFormat="1" applyFont="1" applyFill="1" applyBorder="1" applyAlignment="1">
      <alignment horizontal="center" vertical="center"/>
    </xf>
    <xf numFmtId="177" fontId="27" fillId="8" borderId="3" xfId="1" applyNumberFormat="1" applyFont="1" applyFill="1" applyBorder="1" applyAlignment="1">
      <alignment horizontal="center" vertical="center"/>
    </xf>
    <xf numFmtId="178" fontId="28" fillId="3" borderId="3" xfId="1" applyNumberFormat="1" applyFont="1" applyFill="1" applyBorder="1" applyAlignment="1">
      <alignment horizontal="center" vertical="center"/>
    </xf>
    <xf numFmtId="178" fontId="28" fillId="8" borderId="3" xfId="1" applyNumberFormat="1" applyFont="1" applyFill="1" applyBorder="1" applyAlignment="1">
      <alignment horizontal="center" vertical="center"/>
    </xf>
    <xf numFmtId="0" fontId="25" fillId="0" borderId="3" xfId="1" applyFont="1" applyBorder="1" applyAlignment="1">
      <alignment horizontal="center" vertical="center" wrapText="1"/>
    </xf>
    <xf numFmtId="0" fontId="29" fillId="8" borderId="3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3" fontId="28" fillId="8" borderId="3" xfId="1" applyNumberFormat="1" applyFont="1" applyFill="1" applyBorder="1" applyAlignment="1">
      <alignment horizontal="center" vertical="center"/>
    </xf>
    <xf numFmtId="0" fontId="20" fillId="8" borderId="3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horizontal="center" vertical="center"/>
    </xf>
    <xf numFmtId="0" fontId="29" fillId="2" borderId="3" xfId="1" applyFont="1" applyFill="1" applyBorder="1" applyAlignment="1">
      <alignment horizontal="center" vertical="center"/>
    </xf>
    <xf numFmtId="0" fontId="2" fillId="6" borderId="6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6" borderId="4" xfId="1" applyFont="1" applyFill="1" applyBorder="1" applyAlignment="1">
      <alignment horizontal="center" vertical="center"/>
    </xf>
    <xf numFmtId="0" fontId="2" fillId="6" borderId="5" xfId="1" applyFont="1" applyFill="1" applyBorder="1" applyAlignment="1">
      <alignment horizontal="center" vertical="center"/>
    </xf>
    <xf numFmtId="0" fontId="2" fillId="6" borderId="8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</cellXfs>
  <cellStyles count="3">
    <cellStyle name="표준" xfId="0" builtinId="0"/>
    <cellStyle name="표준 2" xfId="1" xr:uid="{2528C45D-845F-4BAB-B50D-0887C56FEE71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1890-2116-4B4C-934E-4E813BE3825E}">
  <dimension ref="B2:R108"/>
  <sheetViews>
    <sheetView showGridLines="0" tabSelected="1" zoomScale="70" zoomScaleNormal="70" workbookViewId="0">
      <pane xSplit="4" ySplit="3" topLeftCell="G4" activePane="bottomRight" state="frozen"/>
      <selection pane="bottomRight" activeCell="R8" sqref="R8"/>
      <selection pane="bottomLeft" activeCell="A4" sqref="A4"/>
      <selection pane="topRight" activeCell="E1" sqref="E1"/>
    </sheetView>
  </sheetViews>
  <sheetFormatPr defaultColWidth="9" defaultRowHeight="26.25"/>
  <cols>
    <col min="1" max="1" width="2.375" style="33" customWidth="1"/>
    <col min="2" max="2" width="18.375" style="33" customWidth="1"/>
    <col min="3" max="3" width="24.25" style="33" bestFit="1" customWidth="1"/>
    <col min="4" max="4" width="28.875" style="33" bestFit="1" customWidth="1"/>
    <col min="5" max="5" width="19.75" style="33" customWidth="1"/>
    <col min="6" max="7" width="37.75" style="33" customWidth="1"/>
    <col min="8" max="8" width="60" style="33" customWidth="1"/>
    <col min="9" max="9" width="8.875" style="33" customWidth="1"/>
    <col min="10" max="10" width="9" style="33"/>
    <col min="11" max="12" width="17.875" style="60" bestFit="1" customWidth="1"/>
    <col min="13" max="13" width="33.25" style="61" bestFit="1" customWidth="1"/>
    <col min="14" max="14" width="36.75" style="61" bestFit="1" customWidth="1"/>
    <col min="15" max="15" width="32.375" style="61" bestFit="1" customWidth="1"/>
    <col min="16" max="16" width="36.125" style="61" bestFit="1" customWidth="1"/>
    <col min="17" max="17" width="36.375" style="92" customWidth="1"/>
    <col min="18" max="18" width="55.375" style="33" customWidth="1"/>
    <col min="19" max="16384" width="9" style="33"/>
  </cols>
  <sheetData>
    <row r="2" spans="2:18">
      <c r="B2" s="97" t="s">
        <v>0</v>
      </c>
      <c r="C2" s="97" t="s">
        <v>1</v>
      </c>
      <c r="D2" s="98" t="s">
        <v>2</v>
      </c>
      <c r="E2" s="97"/>
      <c r="F2" s="97" t="s">
        <v>3</v>
      </c>
      <c r="G2" s="98" t="s">
        <v>4</v>
      </c>
      <c r="H2" s="94" t="s">
        <v>5</v>
      </c>
      <c r="I2" s="94" t="s">
        <v>6</v>
      </c>
      <c r="K2" s="93" t="s">
        <v>7</v>
      </c>
      <c r="L2" s="93"/>
      <c r="M2" s="93"/>
      <c r="N2" s="93"/>
      <c r="O2" s="93"/>
      <c r="P2" s="93"/>
      <c r="Q2" s="89"/>
    </row>
    <row r="3" spans="2:18">
      <c r="B3" s="97"/>
      <c r="C3" s="97"/>
      <c r="D3" s="34"/>
      <c r="E3" s="35" t="s">
        <v>8</v>
      </c>
      <c r="F3" s="97"/>
      <c r="G3" s="99"/>
      <c r="H3" s="94"/>
      <c r="I3" s="94"/>
      <c r="K3" s="59" t="s">
        <v>9</v>
      </c>
      <c r="L3" s="88" t="s">
        <v>10</v>
      </c>
      <c r="M3" s="59" t="s">
        <v>11</v>
      </c>
      <c r="N3" s="59" t="s">
        <v>12</v>
      </c>
      <c r="O3" s="88" t="s">
        <v>13</v>
      </c>
      <c r="P3" s="88" t="s">
        <v>14</v>
      </c>
      <c r="Q3" s="88" t="s">
        <v>15</v>
      </c>
    </row>
    <row r="4" spans="2:18" ht="99">
      <c r="B4" s="36" t="s">
        <v>16</v>
      </c>
      <c r="C4" s="36" t="s">
        <v>17</v>
      </c>
      <c r="D4" s="37" t="s">
        <v>17</v>
      </c>
      <c r="E4" s="38" t="s">
        <v>18</v>
      </c>
      <c r="F4" s="36"/>
      <c r="G4" s="36" t="s">
        <v>19</v>
      </c>
      <c r="H4" s="39" t="s">
        <v>20</v>
      </c>
      <c r="I4" s="40"/>
      <c r="K4" s="65">
        <f xml:space="preserve"> 976707960 / 959200000</f>
        <v>1.0182526688907423</v>
      </c>
      <c r="L4" s="73">
        <f>976624907 / 959200000</f>
        <v>1.0181660831943287</v>
      </c>
      <c r="M4" s="64" t="s">
        <v>21</v>
      </c>
      <c r="N4" s="64" t="s">
        <v>22</v>
      </c>
      <c r="O4" s="81" t="s">
        <v>23</v>
      </c>
      <c r="P4" s="78" t="s">
        <v>24</v>
      </c>
      <c r="Q4" s="91" t="s">
        <v>25</v>
      </c>
    </row>
    <row r="5" spans="2:18" ht="99">
      <c r="B5" s="38"/>
      <c r="C5" s="38"/>
      <c r="D5" s="41"/>
      <c r="E5" s="38" t="s">
        <v>26</v>
      </c>
      <c r="F5" s="38"/>
      <c r="G5" s="38" t="s">
        <v>27</v>
      </c>
      <c r="H5" s="39" t="s">
        <v>28</v>
      </c>
      <c r="I5" s="42"/>
      <c r="K5" s="65">
        <f xml:space="preserve"> 976707960 / 941860191</f>
        <v>1.0369988766198952</v>
      </c>
      <c r="L5" s="73">
        <f xml:space="preserve"> 976624907 / 941860191</f>
        <v>1.0369106968658366</v>
      </c>
      <c r="M5" s="64" t="s">
        <v>21</v>
      </c>
      <c r="N5" s="64" t="s">
        <v>29</v>
      </c>
      <c r="O5" s="81" t="s">
        <v>23</v>
      </c>
      <c r="P5" s="78" t="s">
        <v>30</v>
      </c>
      <c r="Q5" s="91" t="s">
        <v>31</v>
      </c>
    </row>
    <row r="6" spans="2:18" ht="99">
      <c r="B6" s="38"/>
      <c r="C6" s="38"/>
      <c r="D6" s="41" t="s">
        <v>32</v>
      </c>
      <c r="E6" s="38" t="s">
        <v>33</v>
      </c>
      <c r="F6" s="38"/>
      <c r="G6" s="42" t="s">
        <v>34</v>
      </c>
      <c r="H6" s="39" t="s">
        <v>35</v>
      </c>
      <c r="I6" s="42"/>
      <c r="K6" s="65">
        <f xml:space="preserve"> 2998 / 3136</f>
        <v>0.95599489795918369</v>
      </c>
      <c r="L6" s="73">
        <f xml:space="preserve"> 2998 / 3136</f>
        <v>0.95599489795918369</v>
      </c>
      <c r="M6" s="64" t="s">
        <v>36</v>
      </c>
      <c r="N6" s="64" t="s">
        <v>37</v>
      </c>
      <c r="O6" s="78" t="s">
        <v>38</v>
      </c>
      <c r="P6" s="78" t="s">
        <v>39</v>
      </c>
      <c r="Q6" s="91" t="s">
        <v>40</v>
      </c>
    </row>
    <row r="7" spans="2:18" ht="99">
      <c r="B7" s="38"/>
      <c r="C7" s="38"/>
      <c r="D7" s="41"/>
      <c r="E7" s="38" t="s">
        <v>41</v>
      </c>
      <c r="F7" s="38"/>
      <c r="G7" s="43" t="s">
        <v>42</v>
      </c>
      <c r="H7" s="39" t="s">
        <v>43</v>
      </c>
      <c r="I7" s="42"/>
      <c r="K7" s="65">
        <f>2998 / 3028</f>
        <v>0.99009247027741087</v>
      </c>
      <c r="L7" s="73">
        <f xml:space="preserve"> 2998 / 3029</f>
        <v>0.98976559920765927</v>
      </c>
      <c r="M7" s="64" t="s">
        <v>36</v>
      </c>
      <c r="N7" s="64" t="s">
        <v>44</v>
      </c>
      <c r="O7" s="78" t="s">
        <v>38</v>
      </c>
      <c r="P7" s="81" t="s">
        <v>45</v>
      </c>
      <c r="Q7" s="91" t="s">
        <v>46</v>
      </c>
    </row>
    <row r="8" spans="2:18" ht="61.5">
      <c r="B8" s="38"/>
      <c r="C8" s="44" t="s">
        <v>47</v>
      </c>
      <c r="D8" s="45" t="s">
        <v>48</v>
      </c>
      <c r="E8" s="44"/>
      <c r="F8" s="44"/>
      <c r="G8" s="46" t="s">
        <v>49</v>
      </c>
      <c r="H8" s="47" t="s">
        <v>50</v>
      </c>
      <c r="I8" s="48"/>
      <c r="K8" s="66" t="s">
        <v>51</v>
      </c>
      <c r="L8" s="74">
        <v>0</v>
      </c>
      <c r="M8" s="62"/>
      <c r="N8" s="62"/>
      <c r="O8" s="78" t="s">
        <v>52</v>
      </c>
      <c r="P8" s="79"/>
      <c r="Q8" s="91" t="s">
        <v>53</v>
      </c>
    </row>
    <row r="9" spans="2:18" ht="61.5">
      <c r="B9" s="38"/>
      <c r="C9" s="36"/>
      <c r="D9" s="45" t="s">
        <v>48</v>
      </c>
      <c r="E9" s="36"/>
      <c r="F9" s="36"/>
      <c r="G9" s="46" t="s">
        <v>54</v>
      </c>
      <c r="H9" s="47" t="s">
        <v>50</v>
      </c>
      <c r="I9" s="40"/>
      <c r="K9" s="66" t="s">
        <v>51</v>
      </c>
      <c r="L9" s="74">
        <v>0</v>
      </c>
      <c r="M9" s="62"/>
      <c r="N9" s="62"/>
      <c r="O9" s="78" t="s">
        <v>52</v>
      </c>
      <c r="P9" s="79"/>
      <c r="Q9" s="91" t="s">
        <v>55</v>
      </c>
    </row>
    <row r="10" spans="2:18" ht="148.5">
      <c r="B10" s="38"/>
      <c r="C10" s="38"/>
      <c r="D10" s="41" t="s">
        <v>56</v>
      </c>
      <c r="E10" s="38"/>
      <c r="F10" s="38"/>
      <c r="G10" s="42" t="s">
        <v>57</v>
      </c>
      <c r="H10" s="49" t="s">
        <v>58</v>
      </c>
      <c r="I10" s="42"/>
      <c r="K10" s="67">
        <f xml:space="preserve"> 2998 / 22 / 11</f>
        <v>12.388429752066116</v>
      </c>
      <c r="L10" s="75">
        <f xml:space="preserve"> 2998 / 22 / 11</f>
        <v>12.388429752066116</v>
      </c>
      <c r="M10" s="64" t="s">
        <v>59</v>
      </c>
      <c r="N10" s="64" t="s">
        <v>60</v>
      </c>
      <c r="O10" s="78" t="s">
        <v>61</v>
      </c>
      <c r="P10" s="78" t="s">
        <v>62</v>
      </c>
      <c r="Q10" s="91" t="s">
        <v>63</v>
      </c>
    </row>
    <row r="11" spans="2:18" ht="132">
      <c r="B11" s="38"/>
      <c r="C11" s="38"/>
      <c r="D11" s="41" t="s">
        <v>64</v>
      </c>
      <c r="E11" s="38"/>
      <c r="F11" s="38"/>
      <c r="G11" s="42" t="s">
        <v>65</v>
      </c>
      <c r="H11" s="49" t="s">
        <v>66</v>
      </c>
      <c r="I11" s="42"/>
      <c r="K11" s="67">
        <f xml:space="preserve"> 2998 / 22 / 31</f>
        <v>4.3958944281524932</v>
      </c>
      <c r="L11" s="75">
        <f xml:space="preserve"> 2998 / 22 / 31</f>
        <v>4.3958944281524932</v>
      </c>
      <c r="M11" s="64" t="s">
        <v>59</v>
      </c>
      <c r="N11" s="64" t="s">
        <v>67</v>
      </c>
      <c r="O11" s="78" t="s">
        <v>61</v>
      </c>
      <c r="P11" s="78" t="s">
        <v>68</v>
      </c>
      <c r="Q11" s="91" t="s">
        <v>69</v>
      </c>
      <c r="R11" s="71" t="s">
        <v>70</v>
      </c>
    </row>
    <row r="12" spans="2:18" ht="148.5">
      <c r="B12" s="38"/>
      <c r="C12" s="43"/>
      <c r="D12" s="50" t="s">
        <v>71</v>
      </c>
      <c r="E12" s="43"/>
      <c r="F12" s="43"/>
      <c r="G12" s="42" t="s">
        <v>72</v>
      </c>
      <c r="H12" s="49" t="s">
        <v>73</v>
      </c>
      <c r="I12" s="51"/>
      <c r="K12" s="67">
        <f xml:space="preserve"> 2998 / 22 / 39</f>
        <v>3.4941724941724943</v>
      </c>
      <c r="L12" s="75">
        <f xml:space="preserve"> 2998 / 22 / 39</f>
        <v>3.4941724941724943</v>
      </c>
      <c r="M12" s="64" t="s">
        <v>59</v>
      </c>
      <c r="N12" s="64" t="s">
        <v>74</v>
      </c>
      <c r="O12" s="78" t="s">
        <v>61</v>
      </c>
      <c r="P12" s="78" t="s">
        <v>75</v>
      </c>
      <c r="Q12" s="91" t="s">
        <v>76</v>
      </c>
    </row>
    <row r="13" spans="2:18" ht="99">
      <c r="B13" s="38"/>
      <c r="C13" s="36" t="s">
        <v>77</v>
      </c>
      <c r="D13" s="37" t="s">
        <v>77</v>
      </c>
      <c r="E13" s="38" t="s">
        <v>18</v>
      </c>
      <c r="F13" s="36"/>
      <c r="G13" s="36" t="s">
        <v>78</v>
      </c>
      <c r="H13" s="39" t="s">
        <v>79</v>
      </c>
      <c r="I13" s="40"/>
      <c r="K13" s="65">
        <f xml:space="preserve"> 1340495206 / 1258912000</f>
        <v>1.0648045343916017</v>
      </c>
      <c r="L13" s="83">
        <f xml:space="preserve"> 1300075224 / 1258912000</f>
        <v>1.0326974593935081</v>
      </c>
      <c r="M13" s="64" t="s">
        <v>80</v>
      </c>
      <c r="N13" s="64" t="s">
        <v>81</v>
      </c>
      <c r="O13" s="81" t="s">
        <v>82</v>
      </c>
      <c r="P13" s="78" t="s">
        <v>83</v>
      </c>
      <c r="Q13" s="91" t="s">
        <v>25</v>
      </c>
    </row>
    <row r="14" spans="2:18" ht="99">
      <c r="B14" s="38"/>
      <c r="C14" s="38"/>
      <c r="D14" s="41"/>
      <c r="E14" s="38" t="s">
        <v>26</v>
      </c>
      <c r="F14" s="38"/>
      <c r="G14" s="38" t="s">
        <v>84</v>
      </c>
      <c r="H14" s="39" t="s">
        <v>85</v>
      </c>
      <c r="I14" s="42"/>
      <c r="K14" s="65">
        <f xml:space="preserve"> 1340495206 / 1400910066</f>
        <v>0.9568745621390945</v>
      </c>
      <c r="L14" s="83">
        <f xml:space="preserve"> 1300075224 / 1400910066</f>
        <v>0.92802190201408685</v>
      </c>
      <c r="M14" s="64" t="s">
        <v>80</v>
      </c>
      <c r="N14" s="64" t="s">
        <v>86</v>
      </c>
      <c r="O14" s="81" t="s">
        <v>82</v>
      </c>
      <c r="P14" s="78" t="s">
        <v>87</v>
      </c>
      <c r="Q14" s="91" t="s">
        <v>31</v>
      </c>
    </row>
    <row r="15" spans="2:18" ht="99">
      <c r="B15" s="38"/>
      <c r="C15" s="38"/>
      <c r="D15" s="41" t="s">
        <v>88</v>
      </c>
      <c r="E15" s="38" t="s">
        <v>33</v>
      </c>
      <c r="F15" s="38"/>
      <c r="G15" s="42" t="s">
        <v>89</v>
      </c>
      <c r="H15" s="39" t="s">
        <v>90</v>
      </c>
      <c r="I15" s="42"/>
      <c r="K15" s="65">
        <f xml:space="preserve"> 512 / 505</f>
        <v>1.0138613861386139</v>
      </c>
      <c r="L15" s="83">
        <f xml:space="preserve"> 509 / 505</f>
        <v>1.0079207920792079</v>
      </c>
      <c r="M15" s="64" t="s">
        <v>91</v>
      </c>
      <c r="N15" s="64" t="s">
        <v>92</v>
      </c>
      <c r="O15" s="81" t="s">
        <v>93</v>
      </c>
      <c r="P15" s="78" t="s">
        <v>94</v>
      </c>
      <c r="Q15" s="91" t="s">
        <v>40</v>
      </c>
    </row>
    <row r="16" spans="2:18" ht="99">
      <c r="B16" s="38"/>
      <c r="C16" s="38"/>
      <c r="D16" s="41"/>
      <c r="E16" s="38" t="s">
        <v>41</v>
      </c>
      <c r="F16" s="38"/>
      <c r="G16" s="42" t="s">
        <v>95</v>
      </c>
      <c r="H16" s="39" t="s">
        <v>96</v>
      </c>
      <c r="I16" s="42"/>
      <c r="K16" s="65">
        <f xml:space="preserve"> 512/ 514</f>
        <v>0.99610894941634243</v>
      </c>
      <c r="L16" s="73">
        <f xml:space="preserve"> 509 / 511</f>
        <v>0.99608610567514677</v>
      </c>
      <c r="M16" s="64" t="s">
        <v>91</v>
      </c>
      <c r="N16" s="64" t="s">
        <v>97</v>
      </c>
      <c r="O16" s="81" t="s">
        <v>93</v>
      </c>
      <c r="P16" s="81" t="s">
        <v>98</v>
      </c>
      <c r="Q16" s="91" t="s">
        <v>46</v>
      </c>
    </row>
    <row r="17" spans="2:18" ht="148.5">
      <c r="B17" s="38"/>
      <c r="C17" s="44" t="s">
        <v>99</v>
      </c>
      <c r="D17" s="45" t="s">
        <v>100</v>
      </c>
      <c r="E17" s="44"/>
      <c r="F17" s="38"/>
      <c r="G17" s="42" t="s">
        <v>101</v>
      </c>
      <c r="H17" s="49" t="s">
        <v>102</v>
      </c>
      <c r="I17" s="42"/>
      <c r="K17" s="67">
        <f xml:space="preserve"> 512 / 22 / 6</f>
        <v>3.8787878787878789</v>
      </c>
      <c r="L17" s="75">
        <f xml:space="preserve"> 512 / 22 / 6</f>
        <v>3.8787878787878789</v>
      </c>
      <c r="M17" s="64" t="s">
        <v>59</v>
      </c>
      <c r="N17" s="64" t="s">
        <v>103</v>
      </c>
      <c r="O17" s="78" t="s">
        <v>61</v>
      </c>
      <c r="P17" s="78" t="s">
        <v>104</v>
      </c>
      <c r="Q17" s="91" t="s">
        <v>105</v>
      </c>
    </row>
    <row r="18" spans="2:18" ht="132">
      <c r="B18" s="38"/>
      <c r="C18" s="38"/>
      <c r="D18" s="41" t="s">
        <v>106</v>
      </c>
      <c r="E18" s="38"/>
      <c r="F18" s="38"/>
      <c r="G18" s="42" t="s">
        <v>107</v>
      </c>
      <c r="H18" s="49" t="s">
        <v>108</v>
      </c>
      <c r="I18" s="42"/>
      <c r="K18" s="67">
        <f xml:space="preserve"> 512 / 22 / 12</f>
        <v>1.9393939393939394</v>
      </c>
      <c r="L18" s="75">
        <f xml:space="preserve"> 509 / 22 / 12</f>
        <v>1.928030303030303</v>
      </c>
      <c r="M18" s="64" t="s">
        <v>59</v>
      </c>
      <c r="N18" s="64" t="s">
        <v>109</v>
      </c>
      <c r="O18" s="78" t="s">
        <v>61</v>
      </c>
      <c r="P18" s="78" t="s">
        <v>110</v>
      </c>
      <c r="Q18" s="91" t="s">
        <v>111</v>
      </c>
      <c r="R18" s="71" t="s">
        <v>70</v>
      </c>
    </row>
    <row r="19" spans="2:18" ht="148.5">
      <c r="B19" s="38"/>
      <c r="C19" s="38"/>
      <c r="D19" s="41" t="s">
        <v>112</v>
      </c>
      <c r="E19" s="38"/>
      <c r="F19" s="38"/>
      <c r="G19" s="42" t="s">
        <v>113</v>
      </c>
      <c r="H19" s="49" t="s">
        <v>114</v>
      </c>
      <c r="I19" s="42"/>
      <c r="K19" s="67">
        <f xml:space="preserve"> 512 / 22 / 30</f>
        <v>0.77575757575757576</v>
      </c>
      <c r="L19" s="75">
        <f xml:space="preserve"> 509 / 22 / 30</f>
        <v>0.77121212121212124</v>
      </c>
      <c r="M19" s="64" t="s">
        <v>59</v>
      </c>
      <c r="N19" s="64" t="s">
        <v>115</v>
      </c>
      <c r="O19" s="78" t="s">
        <v>61</v>
      </c>
      <c r="P19" s="78" t="s">
        <v>116</v>
      </c>
      <c r="Q19" s="91" t="s">
        <v>117</v>
      </c>
    </row>
    <row r="20" spans="2:18" ht="82.5">
      <c r="B20" s="38"/>
      <c r="C20" s="44" t="s">
        <v>118</v>
      </c>
      <c r="D20" s="45" t="s">
        <v>119</v>
      </c>
      <c r="E20" s="44"/>
      <c r="F20" s="44"/>
      <c r="G20" s="47" t="s">
        <v>120</v>
      </c>
      <c r="H20" s="47" t="s">
        <v>121</v>
      </c>
      <c r="I20" s="48"/>
      <c r="K20" s="65">
        <f xml:space="preserve"> 21319 / 25638</f>
        <v>0.83153912161635068</v>
      </c>
      <c r="L20" s="73">
        <f xml:space="preserve"> 21318 / 25638</f>
        <v>0.83150011701380766</v>
      </c>
      <c r="M20" s="64" t="s">
        <v>122</v>
      </c>
      <c r="N20" s="64" t="s">
        <v>123</v>
      </c>
      <c r="O20" s="81" t="s">
        <v>124</v>
      </c>
      <c r="P20" s="78" t="s">
        <v>125</v>
      </c>
      <c r="Q20" s="91" t="s">
        <v>126</v>
      </c>
    </row>
    <row r="21" spans="2:18" ht="102">
      <c r="B21" s="38"/>
      <c r="C21" s="38"/>
      <c r="D21" s="41"/>
      <c r="E21" s="38" t="s">
        <v>18</v>
      </c>
      <c r="F21" s="38"/>
      <c r="G21" s="42" t="s">
        <v>127</v>
      </c>
      <c r="H21" s="47" t="s">
        <v>128</v>
      </c>
      <c r="I21" s="42"/>
      <c r="K21" s="66">
        <v>0</v>
      </c>
      <c r="L21" s="74">
        <v>0</v>
      </c>
      <c r="M21" s="64" t="s">
        <v>129</v>
      </c>
      <c r="N21" s="64" t="s">
        <v>130</v>
      </c>
      <c r="O21" s="78" t="s">
        <v>131</v>
      </c>
      <c r="P21" s="78" t="s">
        <v>132</v>
      </c>
      <c r="Q21" s="91" t="s">
        <v>133</v>
      </c>
    </row>
    <row r="22" spans="2:18" ht="197.25">
      <c r="B22" s="38"/>
      <c r="C22" s="38"/>
      <c r="D22" s="41"/>
      <c r="E22" s="38" t="s">
        <v>26</v>
      </c>
      <c r="F22" s="38"/>
      <c r="G22" s="47" t="s">
        <v>134</v>
      </c>
      <c r="H22" s="52" t="s">
        <v>135</v>
      </c>
      <c r="I22" s="42"/>
      <c r="K22" s="65">
        <f xml:space="preserve"> 21554 / 25547</f>
        <v>0.84369984734019654</v>
      </c>
      <c r="L22" s="73">
        <f xml:space="preserve"> 21554 / 25547</f>
        <v>0.84369984734019654</v>
      </c>
      <c r="M22" s="64" t="s">
        <v>136</v>
      </c>
      <c r="N22" s="64" t="s">
        <v>137</v>
      </c>
      <c r="O22" s="78" t="s">
        <v>138</v>
      </c>
      <c r="P22" s="78" t="s">
        <v>139</v>
      </c>
      <c r="Q22" s="91" t="s">
        <v>140</v>
      </c>
    </row>
    <row r="23" spans="2:18" ht="49.5">
      <c r="B23" s="95" t="s">
        <v>141</v>
      </c>
      <c r="C23" s="44" t="s">
        <v>142</v>
      </c>
      <c r="D23" s="45" t="s">
        <v>17</v>
      </c>
      <c r="E23" s="44"/>
      <c r="F23" s="44"/>
      <c r="G23" s="48" t="s">
        <v>17</v>
      </c>
      <c r="H23" s="47" t="s">
        <v>143</v>
      </c>
      <c r="I23" s="48"/>
      <c r="K23" s="66" t="s">
        <v>144</v>
      </c>
      <c r="L23" s="74" t="s">
        <v>144</v>
      </c>
      <c r="M23" s="62" t="s">
        <v>144</v>
      </c>
      <c r="N23" s="62" t="s">
        <v>144</v>
      </c>
      <c r="O23" s="79" t="s">
        <v>144</v>
      </c>
      <c r="P23" s="79" t="s">
        <v>144</v>
      </c>
      <c r="Q23" s="79" t="s">
        <v>144</v>
      </c>
    </row>
    <row r="24" spans="2:18" ht="99">
      <c r="B24" s="96"/>
      <c r="C24" s="38"/>
      <c r="D24" s="41"/>
      <c r="E24" s="38" t="s">
        <v>18</v>
      </c>
      <c r="F24" s="38"/>
      <c r="G24" s="36" t="s">
        <v>19</v>
      </c>
      <c r="H24" s="39" t="s">
        <v>20</v>
      </c>
      <c r="I24" s="42"/>
      <c r="K24" s="66" t="s">
        <v>144</v>
      </c>
      <c r="L24" s="74" t="s">
        <v>144</v>
      </c>
      <c r="M24" s="62" t="s">
        <v>144</v>
      </c>
      <c r="N24" s="62" t="s">
        <v>144</v>
      </c>
      <c r="O24" s="79" t="s">
        <v>144</v>
      </c>
      <c r="P24" s="79" t="s">
        <v>144</v>
      </c>
      <c r="Q24" s="79" t="s">
        <v>144</v>
      </c>
    </row>
    <row r="25" spans="2:18" ht="99">
      <c r="B25" s="38"/>
      <c r="C25" s="38"/>
      <c r="D25" s="41" t="s">
        <v>145</v>
      </c>
      <c r="E25" s="38" t="s">
        <v>26</v>
      </c>
      <c r="F25" s="38"/>
      <c r="G25" s="38" t="s">
        <v>27</v>
      </c>
      <c r="H25" s="39" t="s">
        <v>28</v>
      </c>
      <c r="I25" s="42"/>
      <c r="K25" s="66" t="s">
        <v>144</v>
      </c>
      <c r="L25" s="74" t="s">
        <v>144</v>
      </c>
      <c r="M25" s="62" t="s">
        <v>144</v>
      </c>
      <c r="N25" s="62" t="s">
        <v>144</v>
      </c>
      <c r="O25" s="79" t="s">
        <v>144</v>
      </c>
      <c r="P25" s="79" t="s">
        <v>144</v>
      </c>
      <c r="Q25" s="79" t="s">
        <v>144</v>
      </c>
    </row>
    <row r="26" spans="2:18" ht="49.5">
      <c r="B26" s="38"/>
      <c r="C26" s="38"/>
      <c r="D26" s="41" t="s">
        <v>32</v>
      </c>
      <c r="E26" s="38"/>
      <c r="F26" s="38"/>
      <c r="G26" s="42" t="s">
        <v>32</v>
      </c>
      <c r="H26" s="46" t="s">
        <v>146</v>
      </c>
      <c r="I26" s="42"/>
      <c r="K26" s="66" t="s">
        <v>144</v>
      </c>
      <c r="L26" s="74" t="s">
        <v>144</v>
      </c>
      <c r="M26" s="62" t="s">
        <v>144</v>
      </c>
      <c r="N26" s="62" t="s">
        <v>144</v>
      </c>
      <c r="O26" s="79" t="s">
        <v>144</v>
      </c>
      <c r="P26" s="79" t="s">
        <v>144</v>
      </c>
      <c r="Q26" s="79" t="s">
        <v>144</v>
      </c>
    </row>
    <row r="27" spans="2:18" ht="99">
      <c r="B27" s="38"/>
      <c r="C27" s="38"/>
      <c r="D27" s="41"/>
      <c r="E27" s="38" t="s">
        <v>18</v>
      </c>
      <c r="F27" s="38"/>
      <c r="G27" s="42" t="s">
        <v>34</v>
      </c>
      <c r="H27" s="39" t="s">
        <v>35</v>
      </c>
      <c r="I27" s="42"/>
      <c r="K27" s="66" t="s">
        <v>144</v>
      </c>
      <c r="L27" s="74" t="s">
        <v>144</v>
      </c>
      <c r="M27" s="62" t="s">
        <v>144</v>
      </c>
      <c r="N27" s="62" t="s">
        <v>144</v>
      </c>
      <c r="O27" s="79" t="s">
        <v>144</v>
      </c>
      <c r="P27" s="79" t="s">
        <v>144</v>
      </c>
      <c r="Q27" s="79" t="s">
        <v>144</v>
      </c>
    </row>
    <row r="28" spans="2:18" ht="99">
      <c r="B28" s="38"/>
      <c r="C28" s="38"/>
      <c r="D28" s="41"/>
      <c r="E28" s="38" t="s">
        <v>26</v>
      </c>
      <c r="F28" s="38"/>
      <c r="G28" s="42" t="s">
        <v>42</v>
      </c>
      <c r="H28" s="39" t="s">
        <v>43</v>
      </c>
      <c r="I28" s="42"/>
      <c r="K28" s="66" t="s">
        <v>144</v>
      </c>
      <c r="L28" s="74" t="s">
        <v>144</v>
      </c>
      <c r="M28" s="62" t="s">
        <v>144</v>
      </c>
      <c r="N28" s="62" t="s">
        <v>144</v>
      </c>
      <c r="O28" s="79" t="s">
        <v>144</v>
      </c>
      <c r="P28" s="79" t="s">
        <v>144</v>
      </c>
      <c r="Q28" s="79" t="s">
        <v>144</v>
      </c>
    </row>
    <row r="29" spans="2:18" ht="99">
      <c r="B29" s="38"/>
      <c r="C29" s="38"/>
      <c r="D29" s="41" t="s">
        <v>147</v>
      </c>
      <c r="E29" s="38"/>
      <c r="F29" s="38"/>
      <c r="G29" s="42" t="s">
        <v>148</v>
      </c>
      <c r="H29" s="46" t="s">
        <v>149</v>
      </c>
      <c r="I29" s="42"/>
      <c r="K29" s="68">
        <f xml:space="preserve"> 976707960 / 2998</f>
        <v>325786.51100733824</v>
      </c>
      <c r="L29" s="84">
        <f xml:space="preserve"> 976624907 / 2998</f>
        <v>325758.80820547033</v>
      </c>
      <c r="M29" s="64" t="s">
        <v>21</v>
      </c>
      <c r="N29" s="64" t="s">
        <v>36</v>
      </c>
      <c r="O29" s="81" t="s">
        <v>23</v>
      </c>
      <c r="P29" s="80" t="s">
        <v>38</v>
      </c>
      <c r="Q29" s="91" t="s">
        <v>150</v>
      </c>
    </row>
    <row r="30" spans="2:18" ht="49.5">
      <c r="B30" s="38"/>
      <c r="C30" s="38"/>
      <c r="D30" s="41" t="s">
        <v>77</v>
      </c>
      <c r="E30" s="38"/>
      <c r="F30" s="38"/>
      <c r="G30" s="42" t="s">
        <v>77</v>
      </c>
      <c r="H30" s="46" t="s">
        <v>151</v>
      </c>
      <c r="I30" s="42"/>
      <c r="K30" s="66" t="s">
        <v>144</v>
      </c>
      <c r="L30" s="74" t="s">
        <v>144</v>
      </c>
      <c r="M30" s="62" t="s">
        <v>144</v>
      </c>
      <c r="N30" s="62" t="s">
        <v>144</v>
      </c>
      <c r="O30" s="79" t="s">
        <v>144</v>
      </c>
      <c r="P30" s="79" t="s">
        <v>144</v>
      </c>
      <c r="Q30" s="79" t="s">
        <v>144</v>
      </c>
    </row>
    <row r="31" spans="2:18" ht="99">
      <c r="B31" s="38"/>
      <c r="C31" s="38"/>
      <c r="D31" s="41"/>
      <c r="E31" s="38" t="s">
        <v>18</v>
      </c>
      <c r="F31" s="38"/>
      <c r="G31" s="36" t="s">
        <v>78</v>
      </c>
      <c r="H31" s="39" t="s">
        <v>79</v>
      </c>
      <c r="I31" s="42"/>
      <c r="K31" s="66" t="s">
        <v>144</v>
      </c>
      <c r="L31" s="74" t="s">
        <v>144</v>
      </c>
      <c r="M31" s="62" t="s">
        <v>144</v>
      </c>
      <c r="N31" s="62" t="s">
        <v>144</v>
      </c>
      <c r="O31" s="79" t="s">
        <v>144</v>
      </c>
      <c r="P31" s="79" t="s">
        <v>144</v>
      </c>
      <c r="Q31" s="79" t="s">
        <v>144</v>
      </c>
    </row>
    <row r="32" spans="2:18" ht="99">
      <c r="B32" s="38"/>
      <c r="C32" s="38"/>
      <c r="D32" s="41"/>
      <c r="E32" s="38" t="s">
        <v>26</v>
      </c>
      <c r="F32" s="38"/>
      <c r="G32" s="38" t="s">
        <v>84</v>
      </c>
      <c r="H32" s="39" t="s">
        <v>85</v>
      </c>
      <c r="I32" s="42"/>
      <c r="K32" s="66" t="s">
        <v>144</v>
      </c>
      <c r="L32" s="74" t="s">
        <v>144</v>
      </c>
      <c r="M32" s="62" t="s">
        <v>144</v>
      </c>
      <c r="N32" s="62" t="s">
        <v>144</v>
      </c>
      <c r="O32" s="79" t="s">
        <v>144</v>
      </c>
      <c r="P32" s="79" t="s">
        <v>144</v>
      </c>
      <c r="Q32" s="79" t="s">
        <v>144</v>
      </c>
    </row>
    <row r="33" spans="2:18" ht="49.5">
      <c r="B33" s="38"/>
      <c r="C33" s="38"/>
      <c r="D33" s="41" t="s">
        <v>88</v>
      </c>
      <c r="E33" s="38"/>
      <c r="F33" s="38"/>
      <c r="G33" s="42" t="s">
        <v>88</v>
      </c>
      <c r="H33" s="46" t="s">
        <v>152</v>
      </c>
      <c r="I33" s="42"/>
      <c r="K33" s="66" t="s">
        <v>144</v>
      </c>
      <c r="L33" s="74" t="s">
        <v>144</v>
      </c>
      <c r="M33" s="62" t="s">
        <v>144</v>
      </c>
      <c r="N33" s="62" t="s">
        <v>144</v>
      </c>
      <c r="O33" s="79" t="s">
        <v>144</v>
      </c>
      <c r="P33" s="79" t="s">
        <v>144</v>
      </c>
      <c r="Q33" s="79" t="s">
        <v>144</v>
      </c>
    </row>
    <row r="34" spans="2:18" ht="99">
      <c r="B34" s="38"/>
      <c r="C34" s="38"/>
      <c r="D34" s="41"/>
      <c r="E34" s="38" t="s">
        <v>18</v>
      </c>
      <c r="F34" s="38"/>
      <c r="G34" s="42" t="s">
        <v>89</v>
      </c>
      <c r="H34" s="39" t="s">
        <v>90</v>
      </c>
      <c r="I34" s="42"/>
      <c r="K34" s="66" t="s">
        <v>144</v>
      </c>
      <c r="L34" s="74" t="s">
        <v>144</v>
      </c>
      <c r="M34" s="62" t="s">
        <v>144</v>
      </c>
      <c r="N34" s="62" t="s">
        <v>144</v>
      </c>
      <c r="O34" s="79" t="s">
        <v>144</v>
      </c>
      <c r="P34" s="79" t="s">
        <v>144</v>
      </c>
      <c r="Q34" s="79" t="s">
        <v>144</v>
      </c>
    </row>
    <row r="35" spans="2:18" ht="99">
      <c r="B35" s="38"/>
      <c r="C35" s="38"/>
      <c r="D35" s="41"/>
      <c r="E35" s="38" t="s">
        <v>26</v>
      </c>
      <c r="F35" s="38"/>
      <c r="G35" s="42" t="s">
        <v>95</v>
      </c>
      <c r="H35" s="39" t="s">
        <v>96</v>
      </c>
      <c r="I35" s="42"/>
      <c r="K35" s="66" t="s">
        <v>144</v>
      </c>
      <c r="L35" s="74" t="s">
        <v>144</v>
      </c>
      <c r="M35" s="62" t="s">
        <v>144</v>
      </c>
      <c r="N35" s="62" t="s">
        <v>144</v>
      </c>
      <c r="O35" s="79" t="s">
        <v>144</v>
      </c>
      <c r="P35" s="79" t="s">
        <v>144</v>
      </c>
      <c r="Q35" s="79" t="s">
        <v>144</v>
      </c>
    </row>
    <row r="36" spans="2:18" ht="99">
      <c r="B36" s="38"/>
      <c r="C36" s="38"/>
      <c r="D36" s="41" t="s">
        <v>147</v>
      </c>
      <c r="E36" s="38"/>
      <c r="F36" s="38"/>
      <c r="G36" s="42" t="s">
        <v>153</v>
      </c>
      <c r="H36" s="46" t="s">
        <v>154</v>
      </c>
      <c r="I36" s="42"/>
      <c r="K36" s="68">
        <f xml:space="preserve"> 1340495206 / 512</f>
        <v>2618154.69921875</v>
      </c>
      <c r="L36" s="84">
        <f xml:space="preserve"> 1300075224 / 509</f>
        <v>2554175.2927308446</v>
      </c>
      <c r="M36" s="64" t="s">
        <v>80</v>
      </c>
      <c r="N36" s="64" t="s">
        <v>91</v>
      </c>
      <c r="O36" s="81" t="s">
        <v>82</v>
      </c>
      <c r="P36" s="81" t="s">
        <v>93</v>
      </c>
      <c r="Q36" s="91" t="s">
        <v>155</v>
      </c>
    </row>
    <row r="37" spans="2:18" ht="61.5">
      <c r="B37" s="38"/>
      <c r="C37" s="44" t="s">
        <v>156</v>
      </c>
      <c r="D37" s="45" t="s">
        <v>157</v>
      </c>
      <c r="E37" s="44"/>
      <c r="F37" s="44"/>
      <c r="G37" s="48" t="s">
        <v>158</v>
      </c>
      <c r="H37" s="47" t="s">
        <v>159</v>
      </c>
      <c r="I37" s="48"/>
      <c r="K37" s="69">
        <f xml:space="preserve"> 1332 / 2998</f>
        <v>0.44429619746497667</v>
      </c>
      <c r="L37" s="76">
        <f xml:space="preserve"> 1332/ 2998</f>
        <v>0.44429619746497667</v>
      </c>
      <c r="M37" s="64" t="s">
        <v>160</v>
      </c>
      <c r="N37" s="64" t="s">
        <v>36</v>
      </c>
      <c r="O37" s="78" t="s">
        <v>161</v>
      </c>
      <c r="P37" s="78" t="s">
        <v>38</v>
      </c>
      <c r="Q37" s="91" t="s">
        <v>162</v>
      </c>
    </row>
    <row r="38" spans="2:18" ht="82.5">
      <c r="B38" s="38"/>
      <c r="C38" s="38"/>
      <c r="D38" s="41"/>
      <c r="E38" s="38" t="s">
        <v>26</v>
      </c>
      <c r="F38" s="38"/>
      <c r="G38" s="42" t="s">
        <v>163</v>
      </c>
      <c r="H38" s="46" t="s">
        <v>164</v>
      </c>
      <c r="I38" s="42"/>
      <c r="K38" s="69">
        <f xml:space="preserve"> 1348 / 3028</f>
        <v>0.44517833553500663</v>
      </c>
      <c r="L38" s="76">
        <f xml:space="preserve"> 1348 / 3029</f>
        <v>0.44503136348629913</v>
      </c>
      <c r="M38" s="64" t="s">
        <v>165</v>
      </c>
      <c r="N38" s="64" t="s">
        <v>44</v>
      </c>
      <c r="O38" s="78" t="s">
        <v>166</v>
      </c>
      <c r="P38" s="81" t="s">
        <v>45</v>
      </c>
      <c r="Q38" s="91" t="s">
        <v>167</v>
      </c>
    </row>
    <row r="39" spans="2:18" ht="61.5">
      <c r="B39" s="38"/>
      <c r="C39" s="38"/>
      <c r="D39" s="41" t="s">
        <v>168</v>
      </c>
      <c r="E39" s="38"/>
      <c r="F39" s="38"/>
      <c r="G39" s="42" t="s">
        <v>169</v>
      </c>
      <c r="H39" s="47" t="s">
        <v>170</v>
      </c>
      <c r="I39" s="42"/>
      <c r="K39" s="69">
        <f xml:space="preserve"> 705 / 2998</f>
        <v>0.23515677118078721</v>
      </c>
      <c r="L39" s="76">
        <f xml:space="preserve"> 705 / 2998</f>
        <v>0.23515677118078721</v>
      </c>
      <c r="M39" s="64" t="s">
        <v>171</v>
      </c>
      <c r="N39" s="64" t="s">
        <v>36</v>
      </c>
      <c r="O39" s="78" t="s">
        <v>172</v>
      </c>
      <c r="P39" s="78" t="s">
        <v>38</v>
      </c>
      <c r="Q39" s="91" t="s">
        <v>162</v>
      </c>
    </row>
    <row r="40" spans="2:18" ht="82.5">
      <c r="B40" s="38"/>
      <c r="C40" s="38"/>
      <c r="D40" s="41"/>
      <c r="E40" s="38" t="s">
        <v>26</v>
      </c>
      <c r="F40" s="38"/>
      <c r="G40" s="42" t="s">
        <v>173</v>
      </c>
      <c r="H40" s="46" t="s">
        <v>174</v>
      </c>
      <c r="I40" s="42"/>
      <c r="K40" s="69">
        <f xml:space="preserve"> 562 / 3028</f>
        <v>0.18560105680317041</v>
      </c>
      <c r="L40" s="76">
        <f xml:space="preserve"> 562 / 3029</f>
        <v>0.1855397821063057</v>
      </c>
      <c r="M40" s="64" t="s">
        <v>175</v>
      </c>
      <c r="N40" s="64" t="s">
        <v>44</v>
      </c>
      <c r="O40" s="78" t="s">
        <v>176</v>
      </c>
      <c r="P40" s="81" t="s">
        <v>45</v>
      </c>
      <c r="Q40" s="91" t="s">
        <v>167</v>
      </c>
    </row>
    <row r="41" spans="2:18" ht="61.5">
      <c r="B41" s="38"/>
      <c r="C41" s="38"/>
      <c r="D41" s="41" t="s">
        <v>177</v>
      </c>
      <c r="E41" s="38"/>
      <c r="F41" s="38"/>
      <c r="G41" s="42" t="s">
        <v>178</v>
      </c>
      <c r="H41" s="47" t="s">
        <v>179</v>
      </c>
      <c r="I41" s="42"/>
      <c r="K41" s="69">
        <f xml:space="preserve"> 961 / 2998</f>
        <v>0.32054703135423618</v>
      </c>
      <c r="L41" s="76">
        <f xml:space="preserve"> 961 / 2998</f>
        <v>0.32054703135423618</v>
      </c>
      <c r="M41" s="64" t="s">
        <v>180</v>
      </c>
      <c r="N41" s="64" t="s">
        <v>36</v>
      </c>
      <c r="O41" s="78" t="s">
        <v>181</v>
      </c>
      <c r="P41" s="78" t="s">
        <v>38</v>
      </c>
      <c r="Q41" s="91" t="s">
        <v>162</v>
      </c>
    </row>
    <row r="42" spans="2:18" ht="99">
      <c r="B42" s="38"/>
      <c r="C42" s="38"/>
      <c r="D42" s="41"/>
      <c r="E42" s="38" t="s">
        <v>26</v>
      </c>
      <c r="F42" s="38"/>
      <c r="G42" s="42" t="s">
        <v>182</v>
      </c>
      <c r="H42" s="46" t="s">
        <v>183</v>
      </c>
      <c r="I42" s="42"/>
      <c r="K42" s="69">
        <f xml:space="preserve"> 1119 / 3028</f>
        <v>0.36955085865257598</v>
      </c>
      <c r="L42" s="76">
        <f xml:space="preserve"> 1119 / 3029</f>
        <v>0.3694288544073952</v>
      </c>
      <c r="M42" s="64" t="s">
        <v>184</v>
      </c>
      <c r="N42" s="64" t="s">
        <v>44</v>
      </c>
      <c r="O42" s="78" t="s">
        <v>185</v>
      </c>
      <c r="P42" s="81" t="s">
        <v>45</v>
      </c>
      <c r="Q42" s="91" t="s">
        <v>167</v>
      </c>
    </row>
    <row r="43" spans="2:18" ht="61.5">
      <c r="B43" s="38"/>
      <c r="C43" s="38"/>
      <c r="D43" s="45" t="s">
        <v>186</v>
      </c>
      <c r="E43" s="44"/>
      <c r="F43" s="38"/>
      <c r="G43" s="42" t="s">
        <v>187</v>
      </c>
      <c r="H43" s="46" t="s">
        <v>188</v>
      </c>
      <c r="I43" s="42"/>
      <c r="K43" s="65">
        <f xml:space="preserve"> (89788750 / 976707960)</f>
        <v>9.1929986932839172E-2</v>
      </c>
      <c r="L43" s="73">
        <f xml:space="preserve"> 89788750 / 976624907</f>
        <v>9.1937804735917922E-2</v>
      </c>
      <c r="M43" s="64" t="s">
        <v>189</v>
      </c>
      <c r="N43" s="64" t="s">
        <v>21</v>
      </c>
      <c r="O43" s="78" t="s">
        <v>190</v>
      </c>
      <c r="P43" s="81" t="s">
        <v>23</v>
      </c>
      <c r="Q43" s="91" t="s">
        <v>162</v>
      </c>
    </row>
    <row r="44" spans="2:18" ht="99">
      <c r="B44" s="38"/>
      <c r="C44" s="38"/>
      <c r="D44" s="41"/>
      <c r="E44" s="38" t="s">
        <v>26</v>
      </c>
      <c r="F44" s="38"/>
      <c r="G44" s="42" t="s">
        <v>191</v>
      </c>
      <c r="H44" s="46" t="s">
        <v>192</v>
      </c>
      <c r="I44" s="42"/>
      <c r="K44" s="65">
        <f xml:space="preserve"> 88583412 / 941860191</f>
        <v>9.4051551224336644E-2</v>
      </c>
      <c r="L44" s="73">
        <f xml:space="preserve"> 88583412 / 941860191</f>
        <v>9.4051551224336644E-2</v>
      </c>
      <c r="M44" s="64" t="s">
        <v>193</v>
      </c>
      <c r="N44" s="64" t="s">
        <v>29</v>
      </c>
      <c r="O44" s="78" t="s">
        <v>194</v>
      </c>
      <c r="P44" s="78" t="s">
        <v>30</v>
      </c>
      <c r="Q44" s="91" t="s">
        <v>167</v>
      </c>
    </row>
    <row r="45" spans="2:18" ht="61.5">
      <c r="B45" s="38"/>
      <c r="C45" s="38"/>
      <c r="D45" s="41" t="s">
        <v>195</v>
      </c>
      <c r="E45" s="38"/>
      <c r="F45" s="38"/>
      <c r="G45" s="42" t="s">
        <v>196</v>
      </c>
      <c r="H45" s="46" t="s">
        <v>197</v>
      </c>
      <c r="I45" s="42"/>
      <c r="K45" s="65">
        <f xml:space="preserve"> 122594400 / 976707960</f>
        <v>0.12551796956789418</v>
      </c>
      <c r="L45" s="73">
        <f xml:space="preserve"> 122594400 / 976624907</f>
        <v>0.12552864372114564</v>
      </c>
      <c r="M45" s="64" t="s">
        <v>198</v>
      </c>
      <c r="N45" s="64" t="s">
        <v>21</v>
      </c>
      <c r="O45" s="78" t="s">
        <v>199</v>
      </c>
      <c r="P45" s="81" t="s">
        <v>23</v>
      </c>
      <c r="Q45" s="91" t="s">
        <v>162</v>
      </c>
    </row>
    <row r="46" spans="2:18" ht="99">
      <c r="B46" s="38"/>
      <c r="C46" s="38"/>
      <c r="D46" s="41"/>
      <c r="E46" s="38" t="s">
        <v>26</v>
      </c>
      <c r="F46" s="38"/>
      <c r="G46" s="42" t="s">
        <v>200</v>
      </c>
      <c r="H46" s="46" t="s">
        <v>201</v>
      </c>
      <c r="I46" s="42"/>
      <c r="K46" s="65">
        <f xml:space="preserve"> 89418300 / 941860191</f>
        <v>9.4937975778615319E-2</v>
      </c>
      <c r="L46" s="73">
        <f xml:space="preserve"> 89418300 / 941860191</f>
        <v>9.4937975778615319E-2</v>
      </c>
      <c r="M46" s="64" t="s">
        <v>202</v>
      </c>
      <c r="N46" s="64" t="s">
        <v>29</v>
      </c>
      <c r="O46" s="78" t="s">
        <v>203</v>
      </c>
      <c r="P46" s="78" t="s">
        <v>30</v>
      </c>
      <c r="Q46" s="91" t="s">
        <v>167</v>
      </c>
    </row>
    <row r="47" spans="2:18" ht="61.5">
      <c r="B47" s="38"/>
      <c r="C47" s="38"/>
      <c r="D47" s="41" t="s">
        <v>204</v>
      </c>
      <c r="E47" s="38"/>
      <c r="F47" s="38"/>
      <c r="G47" s="42" t="s">
        <v>205</v>
      </c>
      <c r="H47" s="46" t="s">
        <v>206</v>
      </c>
      <c r="I47" s="42"/>
      <c r="K47" s="65">
        <f xml:space="preserve"> 726046186 / 976707960</f>
        <v>0.7433605701339836</v>
      </c>
      <c r="L47" s="83">
        <f xml:space="preserve"> 764241757 / 976624907</f>
        <v>0.78253355154293647</v>
      </c>
      <c r="M47" s="64" t="s">
        <v>207</v>
      </c>
      <c r="N47" s="64" t="s">
        <v>21</v>
      </c>
      <c r="O47" s="81" t="s">
        <v>208</v>
      </c>
      <c r="P47" s="81" t="s">
        <v>23</v>
      </c>
      <c r="Q47" s="91" t="s">
        <v>162</v>
      </c>
      <c r="R47" s="72" t="s">
        <v>209</v>
      </c>
    </row>
    <row r="48" spans="2:18" ht="99">
      <c r="B48" s="38"/>
      <c r="C48" s="38"/>
      <c r="D48" s="41"/>
      <c r="E48" s="38" t="s">
        <v>26</v>
      </c>
      <c r="F48" s="38"/>
      <c r="G48" s="42" t="s">
        <v>210</v>
      </c>
      <c r="H48" s="46" t="s">
        <v>211</v>
      </c>
      <c r="I48" s="42"/>
      <c r="J48" s="33" t="s">
        <v>212</v>
      </c>
      <c r="K48" s="65">
        <f xml:space="preserve"> 722375153 / 941860191</f>
        <v>0.76696643504279927</v>
      </c>
      <c r="L48" s="83">
        <f xml:space="preserve"> 763858479 / 941860191</f>
        <v>0.81101047299704798</v>
      </c>
      <c r="M48" s="64" t="s">
        <v>213</v>
      </c>
      <c r="N48" s="64" t="s">
        <v>29</v>
      </c>
      <c r="O48" s="81" t="s">
        <v>214</v>
      </c>
      <c r="P48" s="80" t="s">
        <v>30</v>
      </c>
      <c r="Q48" s="91" t="s">
        <v>167</v>
      </c>
      <c r="R48" s="72" t="s">
        <v>209</v>
      </c>
    </row>
    <row r="49" spans="2:17" ht="99">
      <c r="B49" s="38"/>
      <c r="C49" s="38"/>
      <c r="D49" s="41" t="s">
        <v>147</v>
      </c>
      <c r="E49" s="38"/>
      <c r="F49" s="38"/>
      <c r="G49" s="46" t="s">
        <v>148</v>
      </c>
      <c r="H49" s="46" t="s">
        <v>149</v>
      </c>
      <c r="I49" s="42"/>
      <c r="K49" s="66" t="s">
        <v>144</v>
      </c>
      <c r="L49" s="74" t="s">
        <v>144</v>
      </c>
      <c r="M49" s="62" t="s">
        <v>144</v>
      </c>
      <c r="N49" s="62" t="s">
        <v>144</v>
      </c>
      <c r="O49" s="79" t="s">
        <v>144</v>
      </c>
      <c r="P49" s="79" t="s">
        <v>144</v>
      </c>
      <c r="Q49" s="79" t="s">
        <v>144</v>
      </c>
    </row>
    <row r="50" spans="2:17" ht="180.75">
      <c r="B50" s="38"/>
      <c r="C50" s="38"/>
      <c r="D50" s="41"/>
      <c r="E50" s="38" t="s">
        <v>18</v>
      </c>
      <c r="F50" s="38"/>
      <c r="G50" s="46" t="s">
        <v>215</v>
      </c>
      <c r="H50" s="46" t="s">
        <v>216</v>
      </c>
      <c r="I50" s="42"/>
      <c r="K50" s="66" t="s">
        <v>144</v>
      </c>
      <c r="L50" s="74" t="s">
        <v>144</v>
      </c>
      <c r="M50" s="62" t="s">
        <v>144</v>
      </c>
      <c r="N50" s="62" t="s">
        <v>144</v>
      </c>
      <c r="O50" s="79" t="s">
        <v>144</v>
      </c>
      <c r="P50" s="79" t="s">
        <v>144</v>
      </c>
      <c r="Q50" s="79" t="s">
        <v>144</v>
      </c>
    </row>
    <row r="51" spans="2:17" ht="197.25">
      <c r="B51" s="38"/>
      <c r="C51" s="38"/>
      <c r="D51" s="41"/>
      <c r="E51" s="38" t="s">
        <v>26</v>
      </c>
      <c r="F51" s="38"/>
      <c r="G51" s="46" t="s">
        <v>217</v>
      </c>
      <c r="H51" s="53" t="s">
        <v>218</v>
      </c>
      <c r="I51" s="42"/>
      <c r="K51" s="66" t="s">
        <v>144</v>
      </c>
      <c r="L51" s="74" t="s">
        <v>144</v>
      </c>
      <c r="M51" s="62" t="s">
        <v>144</v>
      </c>
      <c r="N51" s="62" t="s">
        <v>144</v>
      </c>
      <c r="O51" s="79" t="s">
        <v>144</v>
      </c>
      <c r="P51" s="79" t="s">
        <v>144</v>
      </c>
      <c r="Q51" s="79" t="s">
        <v>144</v>
      </c>
    </row>
    <row r="52" spans="2:17" ht="61.5">
      <c r="B52" s="38"/>
      <c r="C52" s="38"/>
      <c r="D52" s="41" t="s">
        <v>219</v>
      </c>
      <c r="E52" s="38"/>
      <c r="F52" s="38"/>
      <c r="G52" s="42" t="s">
        <v>220</v>
      </c>
      <c r="H52" s="46" t="s">
        <v>221</v>
      </c>
      <c r="I52" s="42"/>
      <c r="K52" s="70">
        <v>165</v>
      </c>
      <c r="L52" s="82">
        <v>320</v>
      </c>
      <c r="M52" s="64" t="s">
        <v>222</v>
      </c>
      <c r="N52" s="62"/>
      <c r="O52" s="81" t="s">
        <v>223</v>
      </c>
      <c r="P52" s="79"/>
      <c r="Q52" s="91" t="s">
        <v>162</v>
      </c>
    </row>
    <row r="53" spans="2:17" ht="99">
      <c r="B53" s="38"/>
      <c r="C53" s="38"/>
      <c r="D53" s="41"/>
      <c r="E53" s="38" t="s">
        <v>26</v>
      </c>
      <c r="F53" s="38"/>
      <c r="G53" s="42" t="s">
        <v>224</v>
      </c>
      <c r="H53" s="46" t="s">
        <v>225</v>
      </c>
      <c r="I53" s="42"/>
      <c r="K53" s="65">
        <f>165/142</f>
        <v>1.1619718309859155</v>
      </c>
      <c r="L53" s="83">
        <f xml:space="preserve"> 320/333</f>
        <v>0.96096096096096095</v>
      </c>
      <c r="M53" s="64" t="s">
        <v>222</v>
      </c>
      <c r="N53" s="64" t="s">
        <v>226</v>
      </c>
      <c r="O53" s="81" t="s">
        <v>223</v>
      </c>
      <c r="P53" s="81" t="s">
        <v>227</v>
      </c>
      <c r="Q53" s="91" t="s">
        <v>228</v>
      </c>
    </row>
    <row r="54" spans="2:17" ht="81.75">
      <c r="B54" s="38"/>
      <c r="C54" s="38"/>
      <c r="D54" s="41" t="s">
        <v>229</v>
      </c>
      <c r="E54" s="38"/>
      <c r="F54" s="38"/>
      <c r="G54" s="42" t="s">
        <v>230</v>
      </c>
      <c r="H54" s="46" t="s">
        <v>231</v>
      </c>
      <c r="I54" s="42"/>
      <c r="K54" s="70">
        <v>164</v>
      </c>
      <c r="L54" s="82">
        <v>142</v>
      </c>
      <c r="M54" s="64" t="s">
        <v>232</v>
      </c>
      <c r="N54" s="62"/>
      <c r="O54" s="81" t="s">
        <v>233</v>
      </c>
      <c r="P54" s="79"/>
      <c r="Q54" s="91" t="s">
        <v>162</v>
      </c>
    </row>
    <row r="55" spans="2:17" ht="99">
      <c r="B55" s="38"/>
      <c r="C55" s="38"/>
      <c r="D55" s="41"/>
      <c r="E55" s="38" t="s">
        <v>26</v>
      </c>
      <c r="F55" s="38"/>
      <c r="G55" s="42" t="s">
        <v>234</v>
      </c>
      <c r="H55" s="46" t="s">
        <v>235</v>
      </c>
      <c r="I55" s="42"/>
      <c r="K55" s="65">
        <f>164/174</f>
        <v>0.94252873563218387</v>
      </c>
      <c r="L55" s="83">
        <f xml:space="preserve"> 142/118</f>
        <v>1.2033898305084745</v>
      </c>
      <c r="M55" s="64" t="s">
        <v>232</v>
      </c>
      <c r="N55" s="64" t="s">
        <v>236</v>
      </c>
      <c r="O55" s="81" t="s">
        <v>233</v>
      </c>
      <c r="P55" s="81" t="s">
        <v>237</v>
      </c>
      <c r="Q55" s="91" t="s">
        <v>228</v>
      </c>
    </row>
    <row r="56" spans="2:17" ht="61.5">
      <c r="B56" s="38"/>
      <c r="C56" s="38"/>
      <c r="D56" s="41" t="s">
        <v>238</v>
      </c>
      <c r="E56" s="38"/>
      <c r="F56" s="38"/>
      <c r="G56" s="42" t="s">
        <v>239</v>
      </c>
      <c r="H56" s="46" t="s">
        <v>240</v>
      </c>
      <c r="I56" s="42"/>
      <c r="K56" s="70">
        <v>149</v>
      </c>
      <c r="L56" s="82">
        <v>47</v>
      </c>
      <c r="M56" s="64" t="s">
        <v>241</v>
      </c>
      <c r="N56" s="62"/>
      <c r="O56" s="81" t="s">
        <v>242</v>
      </c>
      <c r="P56" s="79"/>
      <c r="Q56" s="91" t="s">
        <v>162</v>
      </c>
    </row>
    <row r="57" spans="2:17" ht="99">
      <c r="B57" s="38"/>
      <c r="C57" s="38"/>
      <c r="D57" s="41"/>
      <c r="E57" s="38" t="s">
        <v>26</v>
      </c>
      <c r="F57" s="38"/>
      <c r="G57" s="42" t="s">
        <v>243</v>
      </c>
      <c r="H57" s="46" t="s">
        <v>244</v>
      </c>
      <c r="I57" s="42"/>
      <c r="K57" s="65">
        <f>149/158</f>
        <v>0.94303797468354433</v>
      </c>
      <c r="L57" s="83">
        <f xml:space="preserve"> 47/61</f>
        <v>0.77049180327868849</v>
      </c>
      <c r="M57" s="64" t="s">
        <v>241</v>
      </c>
      <c r="N57" s="64" t="s">
        <v>245</v>
      </c>
      <c r="O57" s="81" t="s">
        <v>242</v>
      </c>
      <c r="P57" s="81" t="s">
        <v>246</v>
      </c>
      <c r="Q57" s="91" t="s">
        <v>228</v>
      </c>
    </row>
    <row r="58" spans="2:17" ht="61.5">
      <c r="B58" s="38"/>
      <c r="C58" s="38"/>
      <c r="D58" s="41" t="s">
        <v>219</v>
      </c>
      <c r="E58" s="38"/>
      <c r="F58" s="38"/>
      <c r="G58" s="42" t="s">
        <v>247</v>
      </c>
      <c r="H58" s="46" t="s">
        <v>248</v>
      </c>
      <c r="I58" s="42"/>
      <c r="K58" s="70">
        <v>81439031</v>
      </c>
      <c r="L58" s="82">
        <v>532945764</v>
      </c>
      <c r="M58" s="64" t="s">
        <v>249</v>
      </c>
      <c r="N58" s="62"/>
      <c r="O58" s="81" t="s">
        <v>250</v>
      </c>
      <c r="P58" s="79"/>
      <c r="Q58" s="91" t="s">
        <v>162</v>
      </c>
    </row>
    <row r="59" spans="2:17" ht="99">
      <c r="B59" s="38"/>
      <c r="C59" s="38"/>
      <c r="D59" s="41"/>
      <c r="E59" s="38" t="s">
        <v>26</v>
      </c>
      <c r="F59" s="38"/>
      <c r="G59" s="42" t="s">
        <v>251</v>
      </c>
      <c r="H59" s="46" t="s">
        <v>252</v>
      </c>
      <c r="I59" s="42"/>
      <c r="K59" s="65">
        <f xml:space="preserve"> 81439031 / 87509138</f>
        <v>0.93063459269819337</v>
      </c>
      <c r="L59" s="83">
        <f xml:space="preserve"> 532945764 / 526618382</f>
        <v>1.0120151179986725</v>
      </c>
      <c r="M59" s="64" t="s">
        <v>249</v>
      </c>
      <c r="N59" s="64" t="s">
        <v>253</v>
      </c>
      <c r="O59" s="81" t="s">
        <v>250</v>
      </c>
      <c r="P59" s="81" t="s">
        <v>254</v>
      </c>
      <c r="Q59" s="91" t="s">
        <v>228</v>
      </c>
    </row>
    <row r="60" spans="2:17" ht="61.5">
      <c r="B60" s="38"/>
      <c r="C60" s="38"/>
      <c r="D60" s="41" t="s">
        <v>229</v>
      </c>
      <c r="E60" s="38"/>
      <c r="F60" s="38"/>
      <c r="G60" s="42" t="s">
        <v>255</v>
      </c>
      <c r="H60" s="46" t="s">
        <v>256</v>
      </c>
      <c r="I60" s="42"/>
      <c r="K60" s="70">
        <v>268303283</v>
      </c>
      <c r="L60" s="82">
        <v>454351751</v>
      </c>
      <c r="M60" s="64" t="s">
        <v>257</v>
      </c>
      <c r="N60" s="62"/>
      <c r="O60" s="81" t="s">
        <v>258</v>
      </c>
      <c r="P60" s="79"/>
      <c r="Q60" s="91" t="s">
        <v>162</v>
      </c>
    </row>
    <row r="61" spans="2:17" ht="99">
      <c r="B61" s="38"/>
      <c r="C61" s="38"/>
      <c r="D61" s="41"/>
      <c r="E61" s="38" t="s">
        <v>26</v>
      </c>
      <c r="F61" s="38"/>
      <c r="G61" s="42" t="s">
        <v>259</v>
      </c>
      <c r="H61" s="46" t="s">
        <v>260</v>
      </c>
      <c r="I61" s="42"/>
      <c r="K61" s="65">
        <f xml:space="preserve"> 268303283 / 269039010</f>
        <v>0.99726535196512955</v>
      </c>
      <c r="L61" s="83">
        <f xml:space="preserve"> 454351751 / 310819317</f>
        <v>1.4617873669672854</v>
      </c>
      <c r="M61" s="64" t="s">
        <v>257</v>
      </c>
      <c r="N61" s="64" t="s">
        <v>261</v>
      </c>
      <c r="O61" s="81" t="s">
        <v>258</v>
      </c>
      <c r="P61" s="81" t="s">
        <v>262</v>
      </c>
      <c r="Q61" s="91" t="s">
        <v>228</v>
      </c>
    </row>
    <row r="62" spans="2:17" ht="61.5">
      <c r="B62" s="38"/>
      <c r="C62" s="38"/>
      <c r="D62" s="41" t="s">
        <v>238</v>
      </c>
      <c r="E62" s="38"/>
      <c r="F62" s="38"/>
      <c r="G62" s="42" t="s">
        <v>263</v>
      </c>
      <c r="H62" s="46" t="s">
        <v>264</v>
      </c>
      <c r="I62" s="42"/>
      <c r="K62" s="70">
        <v>990752892</v>
      </c>
      <c r="L62" s="82">
        <v>312777709</v>
      </c>
      <c r="M62" s="64" t="s">
        <v>265</v>
      </c>
      <c r="N62" s="62"/>
      <c r="O62" s="81" t="s">
        <v>266</v>
      </c>
      <c r="P62" s="79"/>
      <c r="Q62" s="91" t="s">
        <v>162</v>
      </c>
    </row>
    <row r="63" spans="2:17" ht="99">
      <c r="B63" s="38"/>
      <c r="C63" s="38"/>
      <c r="D63" s="41"/>
      <c r="E63" s="38" t="s">
        <v>26</v>
      </c>
      <c r="F63" s="38"/>
      <c r="G63" s="42" t="s">
        <v>267</v>
      </c>
      <c r="H63" s="46" t="s">
        <v>268</v>
      </c>
      <c r="I63" s="42"/>
      <c r="K63" s="65">
        <f xml:space="preserve"> 990752892 / 1044361918</f>
        <v>0.9486681531794422</v>
      </c>
      <c r="L63" s="83">
        <f xml:space="preserve"> 312777709 / 563472367</f>
        <v>0.55508970327199736</v>
      </c>
      <c r="M63" s="64" t="s">
        <v>265</v>
      </c>
      <c r="N63" s="64" t="s">
        <v>269</v>
      </c>
      <c r="O63" s="81" t="s">
        <v>266</v>
      </c>
      <c r="P63" s="81" t="s">
        <v>270</v>
      </c>
      <c r="Q63" s="91" t="s">
        <v>228</v>
      </c>
    </row>
    <row r="64" spans="2:17" ht="82.5">
      <c r="B64" s="38"/>
      <c r="C64" s="38"/>
      <c r="D64" s="41" t="s">
        <v>271</v>
      </c>
      <c r="E64" s="38"/>
      <c r="F64" s="38"/>
      <c r="G64" s="42" t="s">
        <v>153</v>
      </c>
      <c r="H64" s="46" t="s">
        <v>272</v>
      </c>
      <c r="I64" s="42"/>
      <c r="K64" s="66" t="s">
        <v>144</v>
      </c>
      <c r="L64" s="74" t="s">
        <v>144</v>
      </c>
      <c r="M64" s="62" t="s">
        <v>144</v>
      </c>
      <c r="N64" s="62" t="s">
        <v>144</v>
      </c>
      <c r="O64" s="79" t="s">
        <v>144</v>
      </c>
      <c r="P64" s="79" t="s">
        <v>144</v>
      </c>
      <c r="Q64" s="79" t="s">
        <v>144</v>
      </c>
    </row>
    <row r="65" spans="2:18" ht="197.25">
      <c r="B65" s="38"/>
      <c r="C65" s="38"/>
      <c r="D65" s="41"/>
      <c r="E65" s="38" t="s">
        <v>18</v>
      </c>
      <c r="F65" s="38"/>
      <c r="G65" s="46" t="s">
        <v>273</v>
      </c>
      <c r="H65" s="53" t="s">
        <v>274</v>
      </c>
      <c r="I65" s="42"/>
      <c r="K65" s="66" t="s">
        <v>144</v>
      </c>
      <c r="L65" s="74" t="s">
        <v>144</v>
      </c>
      <c r="M65" s="62" t="s">
        <v>144</v>
      </c>
      <c r="N65" s="62" t="s">
        <v>144</v>
      </c>
      <c r="O65" s="79" t="s">
        <v>144</v>
      </c>
      <c r="P65" s="79" t="s">
        <v>144</v>
      </c>
      <c r="Q65" s="79" t="s">
        <v>144</v>
      </c>
    </row>
    <row r="66" spans="2:18" ht="197.25">
      <c r="B66" s="38"/>
      <c r="C66" s="38"/>
      <c r="D66" s="41"/>
      <c r="E66" s="38" t="s">
        <v>26</v>
      </c>
      <c r="F66" s="38"/>
      <c r="G66" s="42" t="s">
        <v>275</v>
      </c>
      <c r="H66" s="53" t="s">
        <v>276</v>
      </c>
      <c r="I66" s="42"/>
      <c r="K66" s="66" t="s">
        <v>144</v>
      </c>
      <c r="L66" s="74" t="s">
        <v>144</v>
      </c>
      <c r="M66" s="62" t="s">
        <v>144</v>
      </c>
      <c r="N66" s="62" t="s">
        <v>144</v>
      </c>
      <c r="O66" s="79" t="s">
        <v>144</v>
      </c>
      <c r="P66" s="79" t="s">
        <v>144</v>
      </c>
      <c r="Q66" s="79" t="s">
        <v>144</v>
      </c>
    </row>
    <row r="67" spans="2:18" ht="82.5">
      <c r="B67" s="44" t="s">
        <v>277</v>
      </c>
      <c r="C67" s="44"/>
      <c r="D67" s="45" t="s">
        <v>119</v>
      </c>
      <c r="E67" s="44"/>
      <c r="F67" s="44"/>
      <c r="G67" s="47" t="s">
        <v>120</v>
      </c>
      <c r="H67" s="47" t="s">
        <v>121</v>
      </c>
      <c r="I67" s="48"/>
      <c r="K67" s="65">
        <f xml:space="preserve"> 21319 / 25638</f>
        <v>0.83153912161635068</v>
      </c>
      <c r="L67" s="73">
        <f xml:space="preserve"> 21318 / 25638</f>
        <v>0.83150011701380766</v>
      </c>
      <c r="M67" s="64" t="s">
        <v>122</v>
      </c>
      <c r="N67" s="64" t="s">
        <v>123</v>
      </c>
      <c r="O67" s="81" t="s">
        <v>124</v>
      </c>
      <c r="P67" s="78" t="s">
        <v>125</v>
      </c>
      <c r="Q67" s="91" t="s">
        <v>278</v>
      </c>
      <c r="R67" s="72" t="s">
        <v>279</v>
      </c>
    </row>
    <row r="68" spans="2:18" ht="81.75">
      <c r="B68" s="38"/>
      <c r="C68" s="38"/>
      <c r="D68" s="41"/>
      <c r="E68" s="38" t="s">
        <v>18</v>
      </c>
      <c r="F68" s="38"/>
      <c r="G68" s="42" t="s">
        <v>127</v>
      </c>
      <c r="H68" s="47" t="s">
        <v>128</v>
      </c>
      <c r="I68" s="42"/>
      <c r="K68" s="66">
        <v>0</v>
      </c>
      <c r="L68" s="74">
        <v>0</v>
      </c>
      <c r="M68" s="64" t="s">
        <v>280</v>
      </c>
      <c r="N68" s="64" t="s">
        <v>130</v>
      </c>
      <c r="O68" s="81" t="s">
        <v>124</v>
      </c>
      <c r="P68" s="78" t="s">
        <v>132</v>
      </c>
      <c r="Q68" s="91" t="s">
        <v>281</v>
      </c>
    </row>
    <row r="69" spans="2:18" ht="197.25">
      <c r="B69" s="38"/>
      <c r="C69" s="38"/>
      <c r="D69" s="41" t="s">
        <v>145</v>
      </c>
      <c r="E69" s="38" t="s">
        <v>26</v>
      </c>
      <c r="F69" s="38"/>
      <c r="G69" s="47" t="s">
        <v>134</v>
      </c>
      <c r="H69" s="52" t="s">
        <v>135</v>
      </c>
      <c r="I69" s="42"/>
      <c r="K69" s="65">
        <f xml:space="preserve"> 21554 / 25547</f>
        <v>0.84369984734019654</v>
      </c>
      <c r="L69" s="73">
        <f xml:space="preserve"> 21554 / 25547</f>
        <v>0.84369984734019654</v>
      </c>
      <c r="M69" s="64" t="s">
        <v>136</v>
      </c>
      <c r="N69" s="64" t="s">
        <v>137</v>
      </c>
      <c r="O69" s="78" t="s">
        <v>138</v>
      </c>
      <c r="P69" s="78" t="s">
        <v>139</v>
      </c>
      <c r="Q69" s="91" t="s">
        <v>282</v>
      </c>
    </row>
    <row r="70" spans="2:18" ht="33">
      <c r="B70" s="38"/>
      <c r="C70" s="38"/>
      <c r="D70" s="58" t="s">
        <v>283</v>
      </c>
      <c r="E70" s="38"/>
      <c r="F70" s="38"/>
      <c r="G70" s="47"/>
      <c r="H70" s="52" t="s">
        <v>284</v>
      </c>
      <c r="I70" s="42"/>
      <c r="K70" s="70"/>
      <c r="L70" s="77">
        <v>21319</v>
      </c>
      <c r="M70" s="63"/>
      <c r="N70" s="63"/>
      <c r="O70" s="79" t="s">
        <v>285</v>
      </c>
      <c r="P70" s="79"/>
      <c r="Q70" s="79" t="s">
        <v>144</v>
      </c>
    </row>
    <row r="71" spans="2:18" ht="115.5">
      <c r="B71" s="38"/>
      <c r="C71" s="38"/>
      <c r="D71" s="41" t="s">
        <v>286</v>
      </c>
      <c r="E71" s="38"/>
      <c r="F71" s="38"/>
      <c r="G71" s="47" t="s">
        <v>287</v>
      </c>
      <c r="H71" s="54" t="s">
        <v>288</v>
      </c>
      <c r="I71" s="42"/>
      <c r="K71" s="65">
        <f xml:space="preserve"> 16382 / 25638</f>
        <v>0.63897339886106563</v>
      </c>
      <c r="L71" s="73">
        <f xml:space="preserve"> 16381 / 25638</f>
        <v>0.6389343942585225</v>
      </c>
      <c r="M71" s="64" t="s">
        <v>289</v>
      </c>
      <c r="N71" s="64" t="s">
        <v>123</v>
      </c>
      <c r="O71" s="81" t="s">
        <v>290</v>
      </c>
      <c r="P71" s="78" t="s">
        <v>125</v>
      </c>
      <c r="Q71" s="91" t="s">
        <v>291</v>
      </c>
    </row>
    <row r="72" spans="2:18" ht="81.75">
      <c r="B72" s="38"/>
      <c r="C72" s="38"/>
      <c r="D72" s="41"/>
      <c r="E72" s="38" t="s">
        <v>18</v>
      </c>
      <c r="F72" s="38"/>
      <c r="G72" s="42" t="s">
        <v>292</v>
      </c>
      <c r="H72" s="47" t="s">
        <v>293</v>
      </c>
      <c r="I72" s="42"/>
      <c r="K72" s="66">
        <v>0</v>
      </c>
      <c r="L72" s="74">
        <v>0</v>
      </c>
      <c r="M72" s="64" t="s">
        <v>289</v>
      </c>
      <c r="N72" s="64" t="s">
        <v>294</v>
      </c>
      <c r="O72" s="81" t="s">
        <v>290</v>
      </c>
      <c r="P72" s="78" t="s">
        <v>295</v>
      </c>
      <c r="Q72" s="91" t="s">
        <v>296</v>
      </c>
    </row>
    <row r="73" spans="2:18" ht="213.75">
      <c r="B73" s="38"/>
      <c r="C73" s="38"/>
      <c r="D73" s="41"/>
      <c r="E73" s="38" t="s">
        <v>26</v>
      </c>
      <c r="F73" s="38"/>
      <c r="G73" s="47" t="s">
        <v>297</v>
      </c>
      <c r="H73" s="54" t="s">
        <v>298</v>
      </c>
      <c r="I73" s="42"/>
      <c r="K73" s="65">
        <f xml:space="preserve"> 16685 / 25547</f>
        <v>0.65310995420205897</v>
      </c>
      <c r="L73" s="73">
        <f xml:space="preserve"> 16685 / 25547</f>
        <v>0.65310995420205897</v>
      </c>
      <c r="M73" s="64" t="s">
        <v>299</v>
      </c>
      <c r="N73" s="64" t="s">
        <v>137</v>
      </c>
      <c r="O73" s="78" t="s">
        <v>300</v>
      </c>
      <c r="P73" s="78" t="s">
        <v>301</v>
      </c>
      <c r="Q73" s="91" t="s">
        <v>302</v>
      </c>
    </row>
    <row r="74" spans="2:18" ht="33">
      <c r="B74" s="38"/>
      <c r="C74" s="38"/>
      <c r="D74" s="58" t="s">
        <v>303</v>
      </c>
      <c r="E74" s="38"/>
      <c r="F74" s="38"/>
      <c r="G74" s="39"/>
      <c r="H74" s="54" t="s">
        <v>284</v>
      </c>
      <c r="I74" s="42"/>
      <c r="K74" s="70"/>
      <c r="L74" s="77">
        <v>16382</v>
      </c>
      <c r="M74" s="63"/>
      <c r="N74" s="63"/>
      <c r="O74" s="79" t="s">
        <v>304</v>
      </c>
      <c r="P74" s="79"/>
      <c r="Q74" s="79" t="s">
        <v>144</v>
      </c>
    </row>
    <row r="75" spans="2:18" ht="81.75">
      <c r="B75" s="38"/>
      <c r="C75" s="38"/>
      <c r="D75" s="41" t="s">
        <v>305</v>
      </c>
      <c r="E75" s="38"/>
      <c r="F75" s="38"/>
      <c r="G75" s="46" t="s">
        <v>306</v>
      </c>
      <c r="H75" s="54" t="s">
        <v>307</v>
      </c>
      <c r="I75" s="42"/>
      <c r="K75" s="70">
        <v>25638</v>
      </c>
      <c r="L75" s="77">
        <v>25638</v>
      </c>
      <c r="M75" s="64" t="s">
        <v>123</v>
      </c>
      <c r="N75" s="62" t="s">
        <v>144</v>
      </c>
      <c r="O75" s="78" t="s">
        <v>125</v>
      </c>
      <c r="P75" s="79" t="s">
        <v>144</v>
      </c>
      <c r="Q75" s="91" t="s">
        <v>308</v>
      </c>
    </row>
    <row r="76" spans="2:18" ht="61.5">
      <c r="B76" s="38"/>
      <c r="C76" s="38"/>
      <c r="D76" s="41"/>
      <c r="E76" s="38" t="s">
        <v>26</v>
      </c>
      <c r="F76" s="38"/>
      <c r="G76" s="46" t="s">
        <v>309</v>
      </c>
      <c r="H76" s="46" t="s">
        <v>310</v>
      </c>
      <c r="I76" s="42"/>
      <c r="K76" s="70">
        <v>25547</v>
      </c>
      <c r="L76" s="77">
        <v>25547</v>
      </c>
      <c r="M76" s="64" t="s">
        <v>311</v>
      </c>
      <c r="N76" s="62" t="s">
        <v>144</v>
      </c>
      <c r="O76" s="78" t="s">
        <v>312</v>
      </c>
      <c r="P76" s="79" t="s">
        <v>144</v>
      </c>
      <c r="Q76" s="79" t="s">
        <v>144</v>
      </c>
    </row>
    <row r="77" spans="2:18" ht="81.75">
      <c r="B77" s="38"/>
      <c r="C77" s="38"/>
      <c r="D77" s="41" t="s">
        <v>313</v>
      </c>
      <c r="E77" s="38"/>
      <c r="F77" s="38"/>
      <c r="G77" s="46" t="s">
        <v>314</v>
      </c>
      <c r="H77" s="47" t="s">
        <v>315</v>
      </c>
      <c r="I77" s="42"/>
      <c r="K77" s="70">
        <v>21319</v>
      </c>
      <c r="L77" s="90">
        <v>21318</v>
      </c>
      <c r="M77" s="64" t="s">
        <v>122</v>
      </c>
      <c r="N77" s="62" t="s">
        <v>144</v>
      </c>
      <c r="O77" s="80" t="s">
        <v>316</v>
      </c>
      <c r="P77" s="79" t="s">
        <v>144</v>
      </c>
      <c r="Q77" s="91" t="s">
        <v>308</v>
      </c>
    </row>
    <row r="78" spans="2:18" ht="99">
      <c r="B78" s="38"/>
      <c r="C78" s="38"/>
      <c r="D78" s="41" t="s">
        <v>145</v>
      </c>
      <c r="E78" s="38" t="s">
        <v>26</v>
      </c>
      <c r="F78" s="38"/>
      <c r="G78" s="46" t="s">
        <v>317</v>
      </c>
      <c r="H78" s="47" t="s">
        <v>318</v>
      </c>
      <c r="I78" s="42"/>
      <c r="K78" s="70">
        <v>21554</v>
      </c>
      <c r="L78" s="77">
        <v>21554</v>
      </c>
      <c r="M78" s="64" t="s">
        <v>136</v>
      </c>
      <c r="N78" s="62" t="s">
        <v>144</v>
      </c>
      <c r="O78" s="78" t="s">
        <v>319</v>
      </c>
      <c r="P78" s="79" t="s">
        <v>144</v>
      </c>
      <c r="Q78" s="79" t="s">
        <v>144</v>
      </c>
    </row>
    <row r="79" spans="2:18" ht="81.75">
      <c r="B79" s="38"/>
      <c r="C79" s="38"/>
      <c r="D79" s="41" t="s">
        <v>320</v>
      </c>
      <c r="E79" s="38"/>
      <c r="F79" s="38"/>
      <c r="G79" s="46" t="s">
        <v>321</v>
      </c>
      <c r="H79" s="47" t="s">
        <v>322</v>
      </c>
      <c r="I79" s="42"/>
      <c r="K79" s="65">
        <f xml:space="preserve"> 10148 / 21319</f>
        <v>0.47600731741638913</v>
      </c>
      <c r="L79" s="73">
        <f xml:space="preserve"> 10148 / 21319</f>
        <v>0.47600731741638913</v>
      </c>
      <c r="M79" s="64" t="s">
        <v>323</v>
      </c>
      <c r="N79" s="87" t="s">
        <v>122</v>
      </c>
      <c r="O79" s="78" t="s">
        <v>324</v>
      </c>
      <c r="P79" s="80" t="s">
        <v>316</v>
      </c>
      <c r="Q79" s="91" t="s">
        <v>325</v>
      </c>
    </row>
    <row r="80" spans="2:18" ht="81.75">
      <c r="B80" s="38"/>
      <c r="C80" s="38"/>
      <c r="D80" s="41"/>
      <c r="E80" s="38" t="s">
        <v>26</v>
      </c>
      <c r="F80" s="38"/>
      <c r="G80" s="42" t="s">
        <v>326</v>
      </c>
      <c r="H80" s="46" t="s">
        <v>327</v>
      </c>
      <c r="I80" s="42"/>
      <c r="K80" s="65">
        <f xml:space="preserve"> 12343 / 21554</f>
        <v>0.57265472766075898</v>
      </c>
      <c r="L80" s="73">
        <f xml:space="preserve"> 12343 / 21554</f>
        <v>0.57265472766075898</v>
      </c>
      <c r="M80" s="87" t="s">
        <v>328</v>
      </c>
      <c r="N80" s="64" t="s">
        <v>136</v>
      </c>
      <c r="O80" s="80" t="s">
        <v>329</v>
      </c>
      <c r="P80" s="78" t="s">
        <v>319</v>
      </c>
      <c r="Q80" s="91" t="s">
        <v>330</v>
      </c>
    </row>
    <row r="81" spans="2:17" ht="81.75">
      <c r="B81" s="38"/>
      <c r="C81" s="38"/>
      <c r="D81" s="41" t="s">
        <v>331</v>
      </c>
      <c r="E81" s="38"/>
      <c r="F81" s="38"/>
      <c r="G81" s="46" t="s">
        <v>332</v>
      </c>
      <c r="H81" s="47" t="s">
        <v>333</v>
      </c>
      <c r="I81" s="42"/>
      <c r="K81" s="65">
        <f xml:space="preserve"> 5690 / 21319</f>
        <v>0.26689807214222055</v>
      </c>
      <c r="L81" s="73">
        <f xml:space="preserve"> 5690 / 21319</f>
        <v>0.26689807214222055</v>
      </c>
      <c r="M81" s="64" t="s">
        <v>334</v>
      </c>
      <c r="N81" s="87" t="s">
        <v>122</v>
      </c>
      <c r="O81" s="78" t="s">
        <v>335</v>
      </c>
      <c r="P81" s="80" t="s">
        <v>316</v>
      </c>
      <c r="Q81" s="91" t="s">
        <v>336</v>
      </c>
    </row>
    <row r="82" spans="2:17" ht="81.75">
      <c r="B82" s="38"/>
      <c r="C82" s="38"/>
      <c r="D82" s="41"/>
      <c r="E82" s="38" t="s">
        <v>26</v>
      </c>
      <c r="F82" s="38"/>
      <c r="G82" s="42" t="s">
        <v>337</v>
      </c>
      <c r="H82" s="47" t="s">
        <v>338</v>
      </c>
      <c r="I82" s="42"/>
      <c r="K82" s="65">
        <f xml:space="preserve"> 4235 / 21554</f>
        <v>0.19648325136865546</v>
      </c>
      <c r="L82" s="73">
        <f xml:space="preserve"> 4235 / 21554</f>
        <v>0.19648325136865546</v>
      </c>
      <c r="M82" s="64" t="s">
        <v>339</v>
      </c>
      <c r="N82" s="64" t="s">
        <v>136</v>
      </c>
      <c r="O82" s="78" t="s">
        <v>340</v>
      </c>
      <c r="P82" s="78" t="s">
        <v>319</v>
      </c>
      <c r="Q82" s="91" t="s">
        <v>341</v>
      </c>
    </row>
    <row r="83" spans="2:17" ht="81.75">
      <c r="B83" s="38"/>
      <c r="C83" s="38"/>
      <c r="D83" s="41" t="s">
        <v>342</v>
      </c>
      <c r="E83" s="38"/>
      <c r="F83" s="38"/>
      <c r="G83" s="46" t="s">
        <v>343</v>
      </c>
      <c r="H83" s="47" t="s">
        <v>344</v>
      </c>
      <c r="I83" s="42"/>
      <c r="K83" s="85">
        <f xml:space="preserve"> 4005 / 21319</f>
        <v>0.18786059383648387</v>
      </c>
      <c r="L83" s="86">
        <f xml:space="preserve"> 4004 / 21319</f>
        <v>0.1878136873211689</v>
      </c>
      <c r="M83" s="87" t="s">
        <v>345</v>
      </c>
      <c r="N83" s="87" t="s">
        <v>122</v>
      </c>
      <c r="O83" s="80" t="s">
        <v>346</v>
      </c>
      <c r="P83" s="80" t="s">
        <v>316</v>
      </c>
      <c r="Q83" s="91" t="s">
        <v>347</v>
      </c>
    </row>
    <row r="84" spans="2:17" ht="81.75">
      <c r="B84" s="38"/>
      <c r="C84" s="38"/>
      <c r="D84" s="41"/>
      <c r="E84" s="38" t="s">
        <v>26</v>
      </c>
      <c r="F84" s="38"/>
      <c r="G84" s="42"/>
      <c r="H84" s="46" t="s">
        <v>284</v>
      </c>
      <c r="I84" s="42"/>
      <c r="K84" s="85">
        <f xml:space="preserve"> 4466 / 21554</f>
        <v>0.20720051962512759</v>
      </c>
      <c r="L84" s="86">
        <f xml:space="preserve"> 4466 / 21554</f>
        <v>0.20720051962512759</v>
      </c>
      <c r="M84" s="87" t="s">
        <v>348</v>
      </c>
      <c r="N84" s="64" t="s">
        <v>136</v>
      </c>
      <c r="O84" s="80" t="s">
        <v>349</v>
      </c>
      <c r="P84" s="78" t="s">
        <v>319</v>
      </c>
      <c r="Q84" s="91" t="s">
        <v>350</v>
      </c>
    </row>
    <row r="85" spans="2:17" ht="33">
      <c r="B85" s="38"/>
      <c r="C85" s="38"/>
      <c r="D85" s="41" t="s">
        <v>351</v>
      </c>
      <c r="E85" s="38"/>
      <c r="F85" s="38"/>
      <c r="G85" s="42"/>
      <c r="H85" s="55" t="s">
        <v>284</v>
      </c>
      <c r="I85" s="42"/>
      <c r="K85" s="66" t="s">
        <v>144</v>
      </c>
      <c r="L85" s="74" t="s">
        <v>144</v>
      </c>
      <c r="M85" s="62" t="s">
        <v>144</v>
      </c>
      <c r="N85" s="62" t="s">
        <v>144</v>
      </c>
      <c r="O85" s="79" t="s">
        <v>144</v>
      </c>
      <c r="P85" s="79" t="s">
        <v>144</v>
      </c>
      <c r="Q85" s="79" t="s">
        <v>144</v>
      </c>
    </row>
    <row r="86" spans="2:17" ht="81.75">
      <c r="B86" s="38"/>
      <c r="C86" s="38"/>
      <c r="D86" s="41"/>
      <c r="E86" s="38" t="s">
        <v>158</v>
      </c>
      <c r="F86" s="38"/>
      <c r="G86" s="46" t="s">
        <v>321</v>
      </c>
      <c r="H86" s="47" t="s">
        <v>352</v>
      </c>
      <c r="I86" s="42"/>
      <c r="K86" s="65">
        <f xml:space="preserve"> 2679 / 21319</f>
        <v>0.12566255452882405</v>
      </c>
      <c r="L86" s="73">
        <f xml:space="preserve"> 2679 /  21319</f>
        <v>0.12566255452882405</v>
      </c>
      <c r="M86" s="64" t="s">
        <v>353</v>
      </c>
      <c r="N86" s="64" t="s">
        <v>122</v>
      </c>
      <c r="O86" s="78" t="s">
        <v>354</v>
      </c>
      <c r="P86" s="80" t="s">
        <v>316</v>
      </c>
      <c r="Q86" s="91" t="s">
        <v>355</v>
      </c>
    </row>
    <row r="87" spans="2:17" ht="81.75">
      <c r="B87" s="38"/>
      <c r="C87" s="38"/>
      <c r="D87" s="41"/>
      <c r="E87" s="38" t="s">
        <v>169</v>
      </c>
      <c r="F87" s="38"/>
      <c r="G87" s="46" t="s">
        <v>332</v>
      </c>
      <c r="H87" s="47" t="s">
        <v>356</v>
      </c>
      <c r="I87" s="42"/>
      <c r="K87" s="65">
        <f xml:space="preserve"> 4/ 21319</f>
        <v>1.8762606125990899E-4</v>
      </c>
      <c r="L87" s="73">
        <f xml:space="preserve"> 4  /  21319 * 100</f>
        <v>1.8762606125990899E-2</v>
      </c>
      <c r="M87" s="64" t="s">
        <v>357</v>
      </c>
      <c r="N87" s="64" t="s">
        <v>122</v>
      </c>
      <c r="O87" s="78" t="s">
        <v>358</v>
      </c>
      <c r="P87" s="80" t="s">
        <v>316</v>
      </c>
      <c r="Q87" s="91" t="s">
        <v>355</v>
      </c>
    </row>
    <row r="88" spans="2:17" ht="81.75">
      <c r="B88" s="38"/>
      <c r="C88" s="38"/>
      <c r="D88" s="41"/>
      <c r="E88" s="38" t="s">
        <v>359</v>
      </c>
      <c r="F88" s="38"/>
      <c r="G88" s="46" t="s">
        <v>343</v>
      </c>
      <c r="H88" s="47" t="s">
        <v>360</v>
      </c>
      <c r="I88" s="42"/>
      <c r="K88" s="65">
        <f xml:space="preserve"> 18 / 21319</f>
        <v>8.4431727566959048E-4</v>
      </c>
      <c r="L88" s="73">
        <f xml:space="preserve"> 18  /  21319</f>
        <v>8.4431727566959048E-4</v>
      </c>
      <c r="M88" s="64" t="s">
        <v>361</v>
      </c>
      <c r="N88" s="64" t="s">
        <v>122</v>
      </c>
      <c r="O88" s="78" t="s">
        <v>361</v>
      </c>
      <c r="P88" s="80" t="s">
        <v>316</v>
      </c>
      <c r="Q88" s="91" t="s">
        <v>355</v>
      </c>
    </row>
    <row r="89" spans="2:17" ht="81.75">
      <c r="B89" s="56"/>
      <c r="C89" s="38"/>
      <c r="D89" s="41"/>
      <c r="E89" s="38" t="s">
        <v>362</v>
      </c>
      <c r="F89" s="38"/>
      <c r="G89" s="46" t="s">
        <v>363</v>
      </c>
      <c r="H89" s="47" t="s">
        <v>364</v>
      </c>
      <c r="I89" s="42"/>
      <c r="K89" s="65">
        <f xml:space="preserve"> 6 /  21319</f>
        <v>2.8143909188986348E-4</v>
      </c>
      <c r="L89" s="73">
        <f xml:space="preserve"> 6 /  21319</f>
        <v>2.8143909188986348E-4</v>
      </c>
      <c r="M89" s="64" t="s">
        <v>365</v>
      </c>
      <c r="N89" s="64" t="s">
        <v>122</v>
      </c>
      <c r="O89" s="78" t="s">
        <v>365</v>
      </c>
      <c r="P89" s="80" t="s">
        <v>316</v>
      </c>
      <c r="Q89" s="91" t="s">
        <v>355</v>
      </c>
    </row>
    <row r="90" spans="2:17" ht="81.75">
      <c r="B90" s="56"/>
      <c r="C90" s="36"/>
      <c r="D90" s="37" t="s">
        <v>366</v>
      </c>
      <c r="E90" s="36"/>
      <c r="F90" s="36"/>
      <c r="G90" s="46" t="s">
        <v>306</v>
      </c>
      <c r="H90" s="54" t="s">
        <v>367</v>
      </c>
      <c r="I90" s="40"/>
      <c r="K90" s="70">
        <v>2785</v>
      </c>
      <c r="L90" s="77">
        <v>2785</v>
      </c>
      <c r="M90" s="64" t="s">
        <v>368</v>
      </c>
      <c r="N90" s="62"/>
      <c r="O90" s="78" t="s">
        <v>369</v>
      </c>
      <c r="P90" s="79"/>
      <c r="Q90" s="91" t="s">
        <v>370</v>
      </c>
    </row>
    <row r="91" spans="2:17" ht="61.5">
      <c r="B91" s="44" t="s">
        <v>371</v>
      </c>
      <c r="C91" s="44" t="s">
        <v>372</v>
      </c>
      <c r="D91" s="45" t="s">
        <v>373</v>
      </c>
      <c r="E91" s="44"/>
      <c r="F91" s="44"/>
      <c r="G91" s="48" t="s">
        <v>373</v>
      </c>
      <c r="H91" s="39" t="s">
        <v>374</v>
      </c>
      <c r="I91" s="48"/>
      <c r="K91" s="70">
        <v>3366</v>
      </c>
      <c r="L91" s="82">
        <v>3365</v>
      </c>
      <c r="M91" s="64" t="s">
        <v>375</v>
      </c>
      <c r="N91" s="62"/>
      <c r="O91" s="81" t="s">
        <v>376</v>
      </c>
      <c r="P91" s="79"/>
      <c r="Q91" s="91" t="s">
        <v>377</v>
      </c>
    </row>
    <row r="92" spans="2:17" ht="61.5">
      <c r="B92" s="38"/>
      <c r="C92" s="38"/>
      <c r="D92" s="41" t="s">
        <v>378</v>
      </c>
      <c r="E92" s="38"/>
      <c r="F92" s="38"/>
      <c r="G92" s="42" t="s">
        <v>379</v>
      </c>
      <c r="H92" s="46" t="s">
        <v>380</v>
      </c>
      <c r="I92" s="57"/>
      <c r="K92" s="66" t="s">
        <v>144</v>
      </c>
      <c r="L92" s="74" t="s">
        <v>144</v>
      </c>
      <c r="M92" s="62" t="s">
        <v>144</v>
      </c>
      <c r="N92" s="62" t="s">
        <v>144</v>
      </c>
      <c r="O92" s="79" t="s">
        <v>144</v>
      </c>
      <c r="P92" s="79" t="s">
        <v>144</v>
      </c>
      <c r="Q92" s="91" t="s">
        <v>381</v>
      </c>
    </row>
    <row r="93" spans="2:17" ht="61.5">
      <c r="B93" s="38"/>
      <c r="C93" s="38"/>
      <c r="D93" s="41" t="s">
        <v>382</v>
      </c>
      <c r="E93" s="38"/>
      <c r="F93" s="38"/>
      <c r="G93" s="46" t="s">
        <v>383</v>
      </c>
      <c r="H93" s="46" t="s">
        <v>50</v>
      </c>
      <c r="I93" s="42"/>
      <c r="K93" s="66" t="s">
        <v>51</v>
      </c>
      <c r="L93" s="74">
        <v>0</v>
      </c>
      <c r="M93" s="62"/>
      <c r="N93" s="62"/>
      <c r="O93" s="78" t="s">
        <v>52</v>
      </c>
      <c r="P93" s="79"/>
      <c r="Q93" s="91" t="s">
        <v>384</v>
      </c>
    </row>
    <row r="94" spans="2:17" ht="61.5">
      <c r="B94" s="38"/>
      <c r="C94" s="38"/>
      <c r="D94" s="41" t="s">
        <v>382</v>
      </c>
      <c r="E94" s="38"/>
      <c r="F94" s="38"/>
      <c r="G94" s="46" t="s">
        <v>385</v>
      </c>
      <c r="H94" s="46" t="s">
        <v>50</v>
      </c>
      <c r="I94" s="42"/>
      <c r="K94" s="66" t="s">
        <v>51</v>
      </c>
      <c r="L94" s="74">
        <v>0</v>
      </c>
      <c r="M94" s="62"/>
      <c r="N94" s="62"/>
      <c r="O94" s="78" t="s">
        <v>52</v>
      </c>
      <c r="P94" s="79"/>
      <c r="Q94" s="91" t="s">
        <v>384</v>
      </c>
    </row>
    <row r="95" spans="2:17" ht="61.5">
      <c r="B95" s="38"/>
      <c r="C95" s="38"/>
      <c r="D95" s="41" t="s">
        <v>48</v>
      </c>
      <c r="E95" s="38"/>
      <c r="F95" s="38"/>
      <c r="G95" s="46" t="s">
        <v>49</v>
      </c>
      <c r="H95" s="47" t="s">
        <v>50</v>
      </c>
      <c r="I95" s="42"/>
      <c r="K95" s="66" t="s">
        <v>51</v>
      </c>
      <c r="L95" s="74">
        <v>0</v>
      </c>
      <c r="M95" s="62"/>
      <c r="N95" s="62"/>
      <c r="O95" s="78" t="s">
        <v>386</v>
      </c>
      <c r="P95" s="79"/>
      <c r="Q95" s="91" t="s">
        <v>53</v>
      </c>
    </row>
    <row r="96" spans="2:17" ht="61.5">
      <c r="B96" s="38"/>
      <c r="C96" s="38"/>
      <c r="D96" s="41" t="s">
        <v>48</v>
      </c>
      <c r="E96" s="38"/>
      <c r="F96" s="38"/>
      <c r="G96" s="46" t="s">
        <v>54</v>
      </c>
      <c r="H96" s="46" t="s">
        <v>50</v>
      </c>
      <c r="I96" s="42"/>
      <c r="K96" s="66" t="s">
        <v>51</v>
      </c>
      <c r="L96" s="74">
        <v>0</v>
      </c>
      <c r="M96" s="62"/>
      <c r="N96" s="62"/>
      <c r="O96" s="78" t="s">
        <v>386</v>
      </c>
      <c r="P96" s="79"/>
      <c r="Q96" s="91" t="s">
        <v>55</v>
      </c>
    </row>
    <row r="97" spans="2:17" ht="148.5">
      <c r="B97" s="38"/>
      <c r="C97" s="38" t="s">
        <v>387</v>
      </c>
      <c r="D97" s="41" t="s">
        <v>100</v>
      </c>
      <c r="E97" s="38"/>
      <c r="F97" s="38"/>
      <c r="G97" s="42" t="s">
        <v>57</v>
      </c>
      <c r="H97" s="49" t="s">
        <v>58</v>
      </c>
      <c r="I97" s="42"/>
      <c r="K97" s="66" t="s">
        <v>144</v>
      </c>
      <c r="L97" s="74" t="s">
        <v>144</v>
      </c>
      <c r="M97" s="62" t="s">
        <v>144</v>
      </c>
      <c r="N97" s="62" t="s">
        <v>144</v>
      </c>
      <c r="O97" s="79" t="s">
        <v>144</v>
      </c>
      <c r="P97" s="79" t="s">
        <v>144</v>
      </c>
      <c r="Q97" s="79" t="s">
        <v>144</v>
      </c>
    </row>
    <row r="98" spans="2:17" ht="132">
      <c r="B98" s="38"/>
      <c r="C98" s="38" t="s">
        <v>388</v>
      </c>
      <c r="D98" s="41" t="s">
        <v>106</v>
      </c>
      <c r="E98" s="38"/>
      <c r="F98" s="38"/>
      <c r="G98" s="42" t="s">
        <v>65</v>
      </c>
      <c r="H98" s="49" t="s">
        <v>389</v>
      </c>
      <c r="I98" s="42"/>
      <c r="K98" s="66" t="s">
        <v>144</v>
      </c>
      <c r="L98" s="74" t="s">
        <v>144</v>
      </c>
      <c r="M98" s="62" t="s">
        <v>144</v>
      </c>
      <c r="N98" s="62" t="s">
        <v>144</v>
      </c>
      <c r="O98" s="79" t="s">
        <v>144</v>
      </c>
      <c r="P98" s="79" t="s">
        <v>144</v>
      </c>
      <c r="Q98" s="79" t="s">
        <v>144</v>
      </c>
    </row>
    <row r="99" spans="2:17" ht="115.5">
      <c r="B99" s="38"/>
      <c r="C99" s="38" t="s">
        <v>388</v>
      </c>
      <c r="D99" s="41" t="s">
        <v>112</v>
      </c>
      <c r="E99" s="38"/>
      <c r="F99" s="38"/>
      <c r="G99" s="42" t="s">
        <v>72</v>
      </c>
      <c r="H99" s="49" t="s">
        <v>390</v>
      </c>
      <c r="I99" s="42"/>
      <c r="K99" s="66" t="s">
        <v>144</v>
      </c>
      <c r="L99" s="74" t="s">
        <v>144</v>
      </c>
      <c r="M99" s="62" t="s">
        <v>144</v>
      </c>
      <c r="N99" s="62" t="s">
        <v>144</v>
      </c>
      <c r="O99" s="79" t="s">
        <v>144</v>
      </c>
      <c r="P99" s="79" t="s">
        <v>144</v>
      </c>
      <c r="Q99" s="79" t="s">
        <v>144</v>
      </c>
    </row>
    <row r="100" spans="2:17" ht="148.5">
      <c r="B100" s="38"/>
      <c r="C100" s="38" t="s">
        <v>391</v>
      </c>
      <c r="D100" s="41" t="s">
        <v>100</v>
      </c>
      <c r="E100" s="38"/>
      <c r="F100" s="38"/>
      <c r="G100" s="42" t="s">
        <v>101</v>
      </c>
      <c r="H100" s="49" t="s">
        <v>102</v>
      </c>
      <c r="I100" s="42"/>
      <c r="K100" s="66" t="s">
        <v>144</v>
      </c>
      <c r="L100" s="74" t="s">
        <v>144</v>
      </c>
      <c r="M100" s="62" t="s">
        <v>144</v>
      </c>
      <c r="N100" s="62" t="s">
        <v>144</v>
      </c>
      <c r="O100" s="79" t="s">
        <v>144</v>
      </c>
      <c r="P100" s="79" t="s">
        <v>144</v>
      </c>
      <c r="Q100" s="79" t="s">
        <v>144</v>
      </c>
    </row>
    <row r="101" spans="2:17" ht="132">
      <c r="B101" s="38"/>
      <c r="C101" s="38" t="s">
        <v>391</v>
      </c>
      <c r="D101" s="41" t="s">
        <v>106</v>
      </c>
      <c r="E101" s="38"/>
      <c r="F101" s="38"/>
      <c r="G101" s="42" t="s">
        <v>107</v>
      </c>
      <c r="H101" s="49" t="s">
        <v>392</v>
      </c>
      <c r="I101" s="42"/>
      <c r="K101" s="66" t="s">
        <v>144</v>
      </c>
      <c r="L101" s="74" t="s">
        <v>144</v>
      </c>
      <c r="M101" s="62" t="s">
        <v>144</v>
      </c>
      <c r="N101" s="62" t="s">
        <v>144</v>
      </c>
      <c r="O101" s="79" t="s">
        <v>144</v>
      </c>
      <c r="P101" s="79" t="s">
        <v>144</v>
      </c>
      <c r="Q101" s="79" t="s">
        <v>144</v>
      </c>
    </row>
    <row r="102" spans="2:17" ht="148.5">
      <c r="B102" s="38"/>
      <c r="C102" s="38" t="s">
        <v>391</v>
      </c>
      <c r="D102" s="41" t="s">
        <v>112</v>
      </c>
      <c r="E102" s="38"/>
      <c r="F102" s="38"/>
      <c r="G102" s="42" t="s">
        <v>113</v>
      </c>
      <c r="H102" s="49" t="s">
        <v>114</v>
      </c>
      <c r="I102" s="42"/>
      <c r="K102" s="66" t="s">
        <v>144</v>
      </c>
      <c r="L102" s="74" t="s">
        <v>144</v>
      </c>
      <c r="M102" s="62" t="s">
        <v>144</v>
      </c>
      <c r="N102" s="62" t="s">
        <v>144</v>
      </c>
      <c r="O102" s="79" t="s">
        <v>144</v>
      </c>
      <c r="P102" s="79" t="s">
        <v>144</v>
      </c>
      <c r="Q102" s="79" t="s">
        <v>144</v>
      </c>
    </row>
    <row r="103" spans="2:17" ht="148.5">
      <c r="B103" s="38"/>
      <c r="C103" s="38" t="s">
        <v>393</v>
      </c>
      <c r="D103" s="41" t="s">
        <v>394</v>
      </c>
      <c r="E103" s="38"/>
      <c r="F103" s="38"/>
      <c r="G103" s="42" t="s">
        <v>395</v>
      </c>
      <c r="H103" s="49" t="s">
        <v>58</v>
      </c>
      <c r="I103" s="42"/>
      <c r="K103" s="66" t="s">
        <v>144</v>
      </c>
      <c r="L103" s="74" t="s">
        <v>144</v>
      </c>
      <c r="M103" s="62" t="s">
        <v>144</v>
      </c>
      <c r="N103" s="62" t="s">
        <v>144</v>
      </c>
      <c r="O103" s="79" t="s">
        <v>144</v>
      </c>
      <c r="P103" s="79" t="s">
        <v>144</v>
      </c>
      <c r="Q103" s="79" t="s">
        <v>144</v>
      </c>
    </row>
    <row r="104" spans="2:17" ht="148.5">
      <c r="B104" s="38"/>
      <c r="C104" s="38"/>
      <c r="D104" s="41" t="s">
        <v>396</v>
      </c>
      <c r="E104" s="38"/>
      <c r="F104" s="38"/>
      <c r="G104" s="42" t="s">
        <v>397</v>
      </c>
      <c r="H104" s="49" t="s">
        <v>73</v>
      </c>
      <c r="I104" s="42"/>
      <c r="K104" s="66" t="s">
        <v>144</v>
      </c>
      <c r="L104" s="74" t="s">
        <v>144</v>
      </c>
      <c r="M104" s="62" t="s">
        <v>144</v>
      </c>
      <c r="N104" s="62" t="s">
        <v>144</v>
      </c>
      <c r="O104" s="79" t="s">
        <v>144</v>
      </c>
      <c r="P104" s="79" t="s">
        <v>144</v>
      </c>
      <c r="Q104" s="79" t="s">
        <v>144</v>
      </c>
    </row>
    <row r="105" spans="2:17" ht="132">
      <c r="B105" s="38"/>
      <c r="C105" s="38"/>
      <c r="D105" s="41" t="s">
        <v>398</v>
      </c>
      <c r="E105" s="38"/>
      <c r="F105" s="38"/>
      <c r="G105" s="42" t="s">
        <v>399</v>
      </c>
      <c r="H105" s="49" t="s">
        <v>389</v>
      </c>
      <c r="I105" s="42"/>
      <c r="K105" s="66" t="s">
        <v>144</v>
      </c>
      <c r="L105" s="74" t="s">
        <v>144</v>
      </c>
      <c r="M105" s="62" t="s">
        <v>144</v>
      </c>
      <c r="N105" s="62" t="s">
        <v>144</v>
      </c>
      <c r="O105" s="79" t="s">
        <v>144</v>
      </c>
      <c r="P105" s="79" t="s">
        <v>144</v>
      </c>
      <c r="Q105" s="79" t="s">
        <v>144</v>
      </c>
    </row>
    <row r="106" spans="2:17" ht="148.5">
      <c r="B106" s="38"/>
      <c r="C106" s="38" t="s">
        <v>400</v>
      </c>
      <c r="D106" s="41" t="s">
        <v>394</v>
      </c>
      <c r="E106" s="38"/>
      <c r="F106" s="38"/>
      <c r="G106" s="42" t="s">
        <v>401</v>
      </c>
      <c r="H106" s="49" t="s">
        <v>102</v>
      </c>
      <c r="I106" s="42"/>
      <c r="K106" s="66" t="s">
        <v>144</v>
      </c>
      <c r="L106" s="74" t="s">
        <v>144</v>
      </c>
      <c r="M106" s="62" t="s">
        <v>144</v>
      </c>
      <c r="N106" s="62" t="s">
        <v>144</v>
      </c>
      <c r="O106" s="79" t="s">
        <v>144</v>
      </c>
      <c r="P106" s="79" t="s">
        <v>144</v>
      </c>
      <c r="Q106" s="79" t="s">
        <v>144</v>
      </c>
    </row>
    <row r="107" spans="2:17" ht="148.5">
      <c r="B107" s="38"/>
      <c r="C107" s="38"/>
      <c r="D107" s="41" t="s">
        <v>396</v>
      </c>
      <c r="E107" s="38"/>
      <c r="F107" s="38"/>
      <c r="G107" s="42" t="s">
        <v>402</v>
      </c>
      <c r="H107" s="49" t="s">
        <v>114</v>
      </c>
      <c r="I107" s="42"/>
      <c r="K107" s="66" t="s">
        <v>144</v>
      </c>
      <c r="L107" s="74" t="s">
        <v>144</v>
      </c>
      <c r="M107" s="62" t="s">
        <v>144</v>
      </c>
      <c r="N107" s="62" t="s">
        <v>144</v>
      </c>
      <c r="O107" s="79" t="s">
        <v>144</v>
      </c>
      <c r="P107" s="79" t="s">
        <v>144</v>
      </c>
      <c r="Q107" s="79" t="s">
        <v>144</v>
      </c>
    </row>
    <row r="108" spans="2:17" ht="132">
      <c r="B108" s="43"/>
      <c r="C108" s="43"/>
      <c r="D108" s="50" t="s">
        <v>398</v>
      </c>
      <c r="E108" s="43"/>
      <c r="F108" s="43"/>
      <c r="G108" s="42" t="s">
        <v>403</v>
      </c>
      <c r="H108" s="49" t="s">
        <v>392</v>
      </c>
      <c r="I108" s="51"/>
      <c r="K108" s="66" t="s">
        <v>144</v>
      </c>
      <c r="L108" s="74" t="s">
        <v>144</v>
      </c>
      <c r="M108" s="62" t="s">
        <v>144</v>
      </c>
      <c r="N108" s="62" t="s">
        <v>144</v>
      </c>
      <c r="O108" s="79" t="s">
        <v>144</v>
      </c>
      <c r="P108" s="79" t="s">
        <v>144</v>
      </c>
      <c r="Q108" s="79" t="s">
        <v>144</v>
      </c>
    </row>
  </sheetData>
  <mergeCells count="9">
    <mergeCell ref="K2:P2"/>
    <mergeCell ref="I2:I3"/>
    <mergeCell ref="B23:B24"/>
    <mergeCell ref="B2:B3"/>
    <mergeCell ref="C2:C3"/>
    <mergeCell ref="D2:E2"/>
    <mergeCell ref="F2:F3"/>
    <mergeCell ref="G2:G3"/>
    <mergeCell ref="H2:H3"/>
  </mergeCells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ADD92-4B0F-4F2F-8327-E1ED85AE4FB0}">
  <sheetPr>
    <pageSetUpPr fitToPage="1"/>
  </sheetPr>
  <dimension ref="A1:E58"/>
  <sheetViews>
    <sheetView topLeftCell="A2" zoomScale="70" zoomScaleNormal="70" workbookViewId="0">
      <selection activeCell="E17" sqref="E17"/>
    </sheetView>
  </sheetViews>
  <sheetFormatPr defaultRowHeight="16.5"/>
  <cols>
    <col min="1" max="1" width="9" style="1"/>
    <col min="2" max="2" width="28.5" style="2" customWidth="1"/>
    <col min="3" max="3" width="23.5" style="2" bestFit="1" customWidth="1"/>
    <col min="4" max="4" width="54.625" style="2" customWidth="1"/>
    <col min="5" max="5" width="133.25" style="2" customWidth="1"/>
    <col min="6" max="16384" width="9" style="1"/>
  </cols>
  <sheetData>
    <row r="1" spans="1:5">
      <c r="A1" s="3" t="s">
        <v>404</v>
      </c>
      <c r="B1" s="4" t="s">
        <v>405</v>
      </c>
      <c r="C1" s="4" t="s">
        <v>406</v>
      </c>
      <c r="D1" s="4" t="s">
        <v>407</v>
      </c>
      <c r="E1" s="5" t="s">
        <v>408</v>
      </c>
    </row>
    <row r="2" spans="1:5" ht="115.5">
      <c r="A2" s="6">
        <v>1</v>
      </c>
      <c r="B2" s="7" t="s">
        <v>409</v>
      </c>
      <c r="C2" s="7" t="s">
        <v>410</v>
      </c>
      <c r="D2" s="8" t="s">
        <v>411</v>
      </c>
      <c r="E2" s="9" t="s">
        <v>412</v>
      </c>
    </row>
    <row r="3" spans="1:5" ht="49.5">
      <c r="A3" s="6">
        <v>2</v>
      </c>
      <c r="B3" s="7" t="s">
        <v>409</v>
      </c>
      <c r="C3" s="7" t="s">
        <v>413</v>
      </c>
      <c r="D3" s="8" t="s">
        <v>414</v>
      </c>
      <c r="E3" s="9" t="s">
        <v>415</v>
      </c>
    </row>
    <row r="4" spans="1:5" ht="82.5">
      <c r="A4" s="6">
        <v>3</v>
      </c>
      <c r="B4" s="7" t="s">
        <v>409</v>
      </c>
      <c r="C4" s="7" t="s">
        <v>416</v>
      </c>
      <c r="D4" s="8" t="s">
        <v>417</v>
      </c>
      <c r="E4" s="9" t="s">
        <v>418</v>
      </c>
    </row>
    <row r="5" spans="1:5" ht="49.5">
      <c r="A5" s="6">
        <v>4</v>
      </c>
      <c r="B5" s="7" t="s">
        <v>409</v>
      </c>
      <c r="C5" s="7" t="s">
        <v>419</v>
      </c>
      <c r="D5" s="8" t="s">
        <v>420</v>
      </c>
      <c r="E5" s="9" t="s">
        <v>421</v>
      </c>
    </row>
    <row r="6" spans="1:5" ht="116.25" customHeight="1">
      <c r="A6" s="6">
        <v>5</v>
      </c>
      <c r="B6" s="7" t="s">
        <v>422</v>
      </c>
      <c r="C6" s="7" t="s">
        <v>423</v>
      </c>
      <c r="D6" s="8" t="s">
        <v>424</v>
      </c>
      <c r="E6" s="10" t="s">
        <v>425</v>
      </c>
    </row>
    <row r="7" spans="1:5" ht="49.5">
      <c r="A7" s="6">
        <v>6</v>
      </c>
      <c r="B7" s="7" t="s">
        <v>422</v>
      </c>
      <c r="C7" s="7" t="s">
        <v>426</v>
      </c>
      <c r="D7" s="8" t="s">
        <v>427</v>
      </c>
      <c r="E7" s="9" t="s">
        <v>428</v>
      </c>
    </row>
    <row r="8" spans="1:5" ht="49.5">
      <c r="A8" s="6">
        <v>7</v>
      </c>
      <c r="B8" s="7" t="s">
        <v>422</v>
      </c>
      <c r="C8" s="7" t="s">
        <v>429</v>
      </c>
      <c r="D8" s="8" t="s">
        <v>430</v>
      </c>
      <c r="E8" s="9" t="s">
        <v>431</v>
      </c>
    </row>
    <row r="9" spans="1:5" ht="49.5">
      <c r="A9" s="6">
        <v>8</v>
      </c>
      <c r="B9" s="7" t="s">
        <v>422</v>
      </c>
      <c r="C9" s="7" t="s">
        <v>432</v>
      </c>
      <c r="D9" s="8" t="s">
        <v>433</v>
      </c>
      <c r="E9" s="9" t="s">
        <v>434</v>
      </c>
    </row>
    <row r="10" spans="1:5" ht="49.5" customHeight="1">
      <c r="A10" s="6">
        <v>9</v>
      </c>
      <c r="B10" s="7" t="s">
        <v>435</v>
      </c>
      <c r="C10" s="7" t="s">
        <v>436</v>
      </c>
      <c r="D10" s="8" t="s">
        <v>437</v>
      </c>
      <c r="E10" s="9" t="s">
        <v>438</v>
      </c>
    </row>
    <row r="11" spans="1:5" ht="66">
      <c r="A11" s="6">
        <v>10</v>
      </c>
      <c r="B11" s="7" t="s">
        <v>435</v>
      </c>
      <c r="C11" s="7" t="s">
        <v>439</v>
      </c>
      <c r="D11" s="8" t="s">
        <v>440</v>
      </c>
      <c r="E11" s="9" t="s">
        <v>441</v>
      </c>
    </row>
    <row r="12" spans="1:5" ht="49.5">
      <c r="A12" s="6">
        <v>11</v>
      </c>
      <c r="B12" s="7" t="s">
        <v>435</v>
      </c>
      <c r="C12" s="7" t="s">
        <v>442</v>
      </c>
      <c r="D12" s="8" t="s">
        <v>443</v>
      </c>
      <c r="E12" s="9" t="s">
        <v>444</v>
      </c>
    </row>
    <row r="13" spans="1:5" ht="49.5">
      <c r="A13" s="6">
        <v>12</v>
      </c>
      <c r="B13" s="7" t="s">
        <v>435</v>
      </c>
      <c r="C13" s="7" t="s">
        <v>445</v>
      </c>
      <c r="D13" s="8" t="s">
        <v>446</v>
      </c>
      <c r="E13" s="9" t="s">
        <v>447</v>
      </c>
    </row>
    <row r="14" spans="1:5" ht="82.5">
      <c r="A14" s="6">
        <v>13</v>
      </c>
      <c r="B14" s="7" t="s">
        <v>435</v>
      </c>
      <c r="C14" s="7" t="s">
        <v>448</v>
      </c>
      <c r="D14" s="8" t="s">
        <v>449</v>
      </c>
      <c r="E14" s="9" t="s">
        <v>450</v>
      </c>
    </row>
    <row r="15" spans="1:5" ht="49.5">
      <c r="A15" s="6">
        <v>14</v>
      </c>
      <c r="B15" s="7" t="s">
        <v>435</v>
      </c>
      <c r="C15" s="7" t="s">
        <v>451</v>
      </c>
      <c r="D15" s="7" t="s">
        <v>452</v>
      </c>
      <c r="E15" s="9" t="s">
        <v>453</v>
      </c>
    </row>
    <row r="16" spans="1:5" ht="49.5">
      <c r="A16" s="6">
        <v>15</v>
      </c>
      <c r="B16" s="7" t="s">
        <v>435</v>
      </c>
      <c r="C16" s="7" t="s">
        <v>454</v>
      </c>
      <c r="D16" s="9" t="s">
        <v>455</v>
      </c>
      <c r="E16" s="9" t="s">
        <v>456</v>
      </c>
    </row>
    <row r="17" spans="1:5" ht="82.5">
      <c r="A17" s="6">
        <v>16</v>
      </c>
      <c r="B17" s="7" t="s">
        <v>435</v>
      </c>
      <c r="C17" s="7" t="s">
        <v>457</v>
      </c>
      <c r="D17" s="9" t="s">
        <v>458</v>
      </c>
      <c r="E17" s="9" t="s">
        <v>459</v>
      </c>
    </row>
    <row r="18" spans="1:5" ht="66">
      <c r="A18" s="6">
        <v>17</v>
      </c>
      <c r="B18" s="7" t="s">
        <v>435</v>
      </c>
      <c r="C18" s="7" t="s">
        <v>460</v>
      </c>
      <c r="D18" s="9" t="s">
        <v>461</v>
      </c>
      <c r="E18" s="9" t="s">
        <v>462</v>
      </c>
    </row>
    <row r="19" spans="1:5" ht="99">
      <c r="A19" s="6">
        <v>18</v>
      </c>
      <c r="B19" s="7" t="s">
        <v>435</v>
      </c>
      <c r="C19" s="7" t="s">
        <v>463</v>
      </c>
      <c r="D19" s="9" t="s">
        <v>464</v>
      </c>
      <c r="E19" s="9" t="s">
        <v>465</v>
      </c>
    </row>
    <row r="20" spans="1:5" ht="66">
      <c r="A20" s="6">
        <v>19</v>
      </c>
      <c r="B20" s="7" t="s">
        <v>435</v>
      </c>
      <c r="C20" s="7" t="s">
        <v>466</v>
      </c>
      <c r="D20" s="9" t="s">
        <v>467</v>
      </c>
      <c r="E20" s="9" t="s">
        <v>468</v>
      </c>
    </row>
    <row r="21" spans="1:5" ht="99">
      <c r="A21" s="6">
        <v>20</v>
      </c>
      <c r="B21" s="7" t="s">
        <v>435</v>
      </c>
      <c r="C21" s="7" t="s">
        <v>469</v>
      </c>
      <c r="D21" s="9" t="s">
        <v>470</v>
      </c>
      <c r="E21" s="9" t="s">
        <v>471</v>
      </c>
    </row>
    <row r="22" spans="1:5" ht="99">
      <c r="A22" s="6">
        <v>21</v>
      </c>
      <c r="B22" s="7" t="s">
        <v>472</v>
      </c>
      <c r="C22" s="7" t="s">
        <v>473</v>
      </c>
      <c r="D22" s="7" t="s">
        <v>474</v>
      </c>
      <c r="E22" s="9" t="s">
        <v>475</v>
      </c>
    </row>
    <row r="23" spans="1:5" ht="231">
      <c r="A23" s="6">
        <v>22</v>
      </c>
      <c r="B23" s="25" t="s">
        <v>472</v>
      </c>
      <c r="C23" s="25" t="s">
        <v>476</v>
      </c>
      <c r="D23" s="27" t="s">
        <v>477</v>
      </c>
      <c r="E23" s="26" t="s">
        <v>478</v>
      </c>
    </row>
    <row r="24" spans="1:5" ht="33">
      <c r="A24" s="6">
        <v>23</v>
      </c>
      <c r="B24" s="7" t="s">
        <v>472</v>
      </c>
      <c r="C24" s="7" t="s">
        <v>479</v>
      </c>
      <c r="D24" s="8" t="s">
        <v>480</v>
      </c>
      <c r="E24" s="11"/>
    </row>
    <row r="25" spans="1:5" ht="49.5">
      <c r="A25" s="6">
        <v>24</v>
      </c>
      <c r="B25" s="7" t="s">
        <v>472</v>
      </c>
      <c r="C25" s="7" t="s">
        <v>481</v>
      </c>
      <c r="D25" s="8" t="s">
        <v>482</v>
      </c>
      <c r="E25" s="9" t="s">
        <v>483</v>
      </c>
    </row>
    <row r="26" spans="1:5" ht="247.5">
      <c r="A26" s="6">
        <v>25</v>
      </c>
      <c r="B26" s="25" t="s">
        <v>472</v>
      </c>
      <c r="C26" s="25" t="s">
        <v>484</v>
      </c>
      <c r="D26" s="27" t="s">
        <v>485</v>
      </c>
      <c r="E26" s="26" t="s">
        <v>486</v>
      </c>
    </row>
    <row r="27" spans="1:5" ht="33">
      <c r="A27" s="6">
        <v>26</v>
      </c>
      <c r="B27" s="7" t="s">
        <v>472</v>
      </c>
      <c r="C27" s="7" t="s">
        <v>487</v>
      </c>
      <c r="D27" s="8" t="s">
        <v>488</v>
      </c>
      <c r="E27" s="11"/>
    </row>
    <row r="28" spans="1:5" ht="49.5">
      <c r="A28" s="6">
        <v>27</v>
      </c>
      <c r="B28" s="7" t="s">
        <v>472</v>
      </c>
      <c r="C28" s="8" t="s">
        <v>489</v>
      </c>
      <c r="D28" s="8" t="s">
        <v>490</v>
      </c>
      <c r="E28" s="9" t="s">
        <v>491</v>
      </c>
    </row>
    <row r="29" spans="1:5" ht="33">
      <c r="A29" s="6">
        <v>28</v>
      </c>
      <c r="B29" s="7" t="s">
        <v>472</v>
      </c>
      <c r="C29" s="7" t="s">
        <v>492</v>
      </c>
      <c r="D29" s="8" t="s">
        <v>493</v>
      </c>
      <c r="E29" s="11"/>
    </row>
    <row r="30" spans="1:5" ht="66">
      <c r="A30" s="6">
        <v>29</v>
      </c>
      <c r="B30" s="25" t="s">
        <v>472</v>
      </c>
      <c r="C30" s="25" t="s">
        <v>494</v>
      </c>
      <c r="D30" s="26" t="s">
        <v>495</v>
      </c>
      <c r="E30" s="26" t="s">
        <v>496</v>
      </c>
    </row>
    <row r="31" spans="1:5" ht="49.5">
      <c r="A31" s="6">
        <v>30</v>
      </c>
      <c r="B31" s="25" t="s">
        <v>472</v>
      </c>
      <c r="C31" s="25" t="s">
        <v>497</v>
      </c>
      <c r="D31" s="26" t="s">
        <v>498</v>
      </c>
      <c r="E31" s="26" t="s">
        <v>499</v>
      </c>
    </row>
    <row r="32" spans="1:5" ht="49.5">
      <c r="A32" s="6">
        <v>31</v>
      </c>
      <c r="B32" s="25" t="s">
        <v>472</v>
      </c>
      <c r="C32" s="25" t="s">
        <v>500</v>
      </c>
      <c r="D32" s="26" t="s">
        <v>501</v>
      </c>
      <c r="E32" s="26" t="s">
        <v>502</v>
      </c>
    </row>
    <row r="33" spans="1:5" ht="49.5">
      <c r="A33" s="6">
        <v>32</v>
      </c>
      <c r="B33" s="25" t="s">
        <v>472</v>
      </c>
      <c r="C33" s="25" t="s">
        <v>503</v>
      </c>
      <c r="D33" s="26" t="s">
        <v>504</v>
      </c>
      <c r="E33" s="26" t="s">
        <v>505</v>
      </c>
    </row>
    <row r="34" spans="1:5" ht="165">
      <c r="A34" s="6">
        <v>33</v>
      </c>
      <c r="B34" s="7" t="s">
        <v>472</v>
      </c>
      <c r="C34" s="7" t="s">
        <v>506</v>
      </c>
      <c r="D34" s="9" t="s">
        <v>507</v>
      </c>
      <c r="E34" s="9" t="s">
        <v>508</v>
      </c>
    </row>
    <row r="35" spans="1:5" ht="49.5">
      <c r="A35" s="6">
        <v>34</v>
      </c>
      <c r="B35" s="7" t="s">
        <v>472</v>
      </c>
      <c r="C35" s="7" t="s">
        <v>509</v>
      </c>
      <c r="D35" s="9" t="s">
        <v>510</v>
      </c>
      <c r="E35" s="9" t="s">
        <v>511</v>
      </c>
    </row>
    <row r="36" spans="1:5" ht="148.5">
      <c r="A36" s="6">
        <v>35</v>
      </c>
      <c r="B36" s="7" t="s">
        <v>512</v>
      </c>
      <c r="C36" s="7" t="s">
        <v>513</v>
      </c>
      <c r="D36" s="8" t="s">
        <v>514</v>
      </c>
      <c r="E36" s="9" t="s">
        <v>515</v>
      </c>
    </row>
    <row r="37" spans="1:5" ht="99">
      <c r="A37" s="6">
        <v>36</v>
      </c>
      <c r="B37" s="7" t="s">
        <v>512</v>
      </c>
      <c r="C37" s="7" t="s">
        <v>516</v>
      </c>
      <c r="D37" s="8" t="s">
        <v>517</v>
      </c>
      <c r="E37" s="9" t="s">
        <v>518</v>
      </c>
    </row>
    <row r="38" spans="1:5" ht="33">
      <c r="A38" s="6">
        <v>37</v>
      </c>
      <c r="B38" s="7" t="s">
        <v>512</v>
      </c>
      <c r="C38" s="7" t="s">
        <v>519</v>
      </c>
      <c r="D38" s="8" t="s">
        <v>520</v>
      </c>
      <c r="E38" s="11"/>
    </row>
    <row r="39" spans="1:5" ht="49.5">
      <c r="A39" s="6">
        <v>38</v>
      </c>
      <c r="B39" s="25" t="s">
        <v>512</v>
      </c>
      <c r="C39" s="25" t="s">
        <v>521</v>
      </c>
      <c r="D39" s="25" t="s">
        <v>522</v>
      </c>
      <c r="E39" s="26" t="s">
        <v>523</v>
      </c>
    </row>
    <row r="40" spans="1:5" ht="49.5">
      <c r="A40" s="6">
        <v>39</v>
      </c>
      <c r="B40" s="25" t="s">
        <v>512</v>
      </c>
      <c r="C40" s="25" t="s">
        <v>524</v>
      </c>
      <c r="D40" s="27" t="s">
        <v>525</v>
      </c>
      <c r="E40" s="26" t="s">
        <v>526</v>
      </c>
    </row>
    <row r="41" spans="1:5" ht="33">
      <c r="A41" s="6">
        <v>40</v>
      </c>
      <c r="B41" s="7" t="s">
        <v>512</v>
      </c>
      <c r="C41" s="7" t="s">
        <v>527</v>
      </c>
      <c r="D41" s="8" t="s">
        <v>528</v>
      </c>
      <c r="E41" s="9"/>
    </row>
    <row r="42" spans="1:5" ht="49.5">
      <c r="A42" s="6">
        <v>41</v>
      </c>
      <c r="B42" s="7" t="s">
        <v>512</v>
      </c>
      <c r="C42" s="7" t="s">
        <v>529</v>
      </c>
      <c r="D42" s="8" t="s">
        <v>530</v>
      </c>
      <c r="E42" s="9" t="s">
        <v>531</v>
      </c>
    </row>
    <row r="43" spans="1:5" ht="49.5">
      <c r="A43" s="6">
        <v>42</v>
      </c>
      <c r="B43" s="7" t="s">
        <v>512</v>
      </c>
      <c r="C43" s="7" t="s">
        <v>532</v>
      </c>
      <c r="D43" s="8" t="s">
        <v>533</v>
      </c>
      <c r="E43" s="9" t="s">
        <v>534</v>
      </c>
    </row>
    <row r="44" spans="1:5" ht="49.5">
      <c r="A44" s="6">
        <v>43</v>
      </c>
      <c r="B44" s="7" t="s">
        <v>512</v>
      </c>
      <c r="C44" s="7" t="s">
        <v>535</v>
      </c>
      <c r="D44" s="8" t="s">
        <v>536</v>
      </c>
      <c r="E44" s="9" t="s">
        <v>537</v>
      </c>
    </row>
    <row r="45" spans="1:5" ht="49.5">
      <c r="A45" s="6">
        <v>44</v>
      </c>
      <c r="B45" s="7" t="s">
        <v>512</v>
      </c>
      <c r="C45" s="7" t="s">
        <v>538</v>
      </c>
      <c r="D45" s="8" t="s">
        <v>539</v>
      </c>
      <c r="E45" s="9" t="s">
        <v>540</v>
      </c>
    </row>
    <row r="46" spans="1:5" ht="115.5">
      <c r="A46" s="6">
        <v>45</v>
      </c>
      <c r="B46" s="28" t="s">
        <v>512</v>
      </c>
      <c r="C46" s="28" t="s">
        <v>541</v>
      </c>
      <c r="D46" s="29" t="s">
        <v>542</v>
      </c>
      <c r="E46" s="29" t="s">
        <v>543</v>
      </c>
    </row>
    <row r="47" spans="1:5" ht="49.5">
      <c r="A47" s="6">
        <v>46</v>
      </c>
      <c r="B47" s="28" t="s">
        <v>512</v>
      </c>
      <c r="C47" s="28" t="s">
        <v>544</v>
      </c>
      <c r="D47" s="29" t="s">
        <v>545</v>
      </c>
      <c r="E47" s="29" t="s">
        <v>546</v>
      </c>
    </row>
    <row r="48" spans="1:5" ht="33">
      <c r="A48" s="6">
        <v>47</v>
      </c>
      <c r="B48" s="28" t="s">
        <v>512</v>
      </c>
      <c r="C48" s="28" t="s">
        <v>547</v>
      </c>
      <c r="D48" s="29" t="s">
        <v>548</v>
      </c>
      <c r="E48" s="29" t="s">
        <v>549</v>
      </c>
    </row>
    <row r="49" spans="1:5" ht="33">
      <c r="A49" s="6">
        <v>48</v>
      </c>
      <c r="B49" s="28" t="s">
        <v>512</v>
      </c>
      <c r="C49" s="28" t="s">
        <v>550</v>
      </c>
      <c r="D49" s="29" t="s">
        <v>551</v>
      </c>
      <c r="E49" s="29" t="s">
        <v>552</v>
      </c>
    </row>
    <row r="50" spans="1:5" ht="33">
      <c r="A50" s="6">
        <v>49</v>
      </c>
      <c r="B50" s="7" t="s">
        <v>512</v>
      </c>
      <c r="C50" s="7" t="s">
        <v>553</v>
      </c>
      <c r="D50" s="8" t="s">
        <v>554</v>
      </c>
      <c r="E50" s="9"/>
    </row>
    <row r="51" spans="1:5" ht="49.5">
      <c r="A51" s="6">
        <v>50</v>
      </c>
      <c r="B51" s="7" t="s">
        <v>512</v>
      </c>
      <c r="C51" s="7" t="s">
        <v>555</v>
      </c>
      <c r="D51" s="8" t="s">
        <v>530</v>
      </c>
      <c r="E51" s="9" t="s">
        <v>531</v>
      </c>
    </row>
    <row r="52" spans="1:5" ht="49.5">
      <c r="A52" s="6">
        <v>51</v>
      </c>
      <c r="B52" s="7" t="s">
        <v>512</v>
      </c>
      <c r="C52" s="7" t="s">
        <v>556</v>
      </c>
      <c r="D52" s="8" t="s">
        <v>557</v>
      </c>
      <c r="E52" s="9" t="s">
        <v>558</v>
      </c>
    </row>
    <row r="53" spans="1:5" ht="49.5">
      <c r="A53" s="6">
        <v>52</v>
      </c>
      <c r="B53" s="7" t="s">
        <v>512</v>
      </c>
      <c r="C53" s="7" t="s">
        <v>559</v>
      </c>
      <c r="D53" s="8" t="s">
        <v>560</v>
      </c>
      <c r="E53" s="9" t="s">
        <v>561</v>
      </c>
    </row>
    <row r="54" spans="1:5" ht="49.5">
      <c r="A54" s="6">
        <v>53</v>
      </c>
      <c r="B54" s="22" t="s">
        <v>512</v>
      </c>
      <c r="C54" s="22" t="s">
        <v>562</v>
      </c>
      <c r="D54" s="23" t="s">
        <v>563</v>
      </c>
      <c r="E54" s="24" t="s">
        <v>564</v>
      </c>
    </row>
    <row r="55" spans="1:5" ht="115.5">
      <c r="A55" s="6">
        <v>54</v>
      </c>
      <c r="B55" s="28" t="s">
        <v>512</v>
      </c>
      <c r="C55" s="28" t="s">
        <v>565</v>
      </c>
      <c r="D55" s="29" t="s">
        <v>566</v>
      </c>
      <c r="E55" s="29" t="s">
        <v>567</v>
      </c>
    </row>
    <row r="56" spans="1:5" ht="49.5">
      <c r="A56" s="6">
        <v>55</v>
      </c>
      <c r="B56" s="28" t="s">
        <v>512</v>
      </c>
      <c r="C56" s="28" t="s">
        <v>568</v>
      </c>
      <c r="D56" s="29" t="s">
        <v>569</v>
      </c>
      <c r="E56" s="29" t="s">
        <v>570</v>
      </c>
    </row>
    <row r="57" spans="1:5" ht="33">
      <c r="A57" s="6">
        <v>56</v>
      </c>
      <c r="B57" s="28" t="s">
        <v>512</v>
      </c>
      <c r="C57" s="28" t="s">
        <v>571</v>
      </c>
      <c r="D57" s="29" t="s">
        <v>572</v>
      </c>
      <c r="E57" s="29" t="s">
        <v>573</v>
      </c>
    </row>
    <row r="58" spans="1:5" ht="33">
      <c r="A58" s="6">
        <v>57</v>
      </c>
      <c r="B58" s="28" t="s">
        <v>512</v>
      </c>
      <c r="C58" s="28" t="s">
        <v>574</v>
      </c>
      <c r="D58" s="29" t="s">
        <v>575</v>
      </c>
      <c r="E58" s="29" t="s">
        <v>576</v>
      </c>
    </row>
  </sheetData>
  <phoneticPr fontId="1" type="noConversion"/>
  <pageMargins left="0.23622047244094491" right="0.23622047244094491" top="0.19685039370078741" bottom="0.19685039370078741" header="0" footer="0"/>
  <pageSetup paperSize="9" scale="30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98B57-50A2-42B7-A28D-74923E188153}">
  <dimension ref="B2:F1790"/>
  <sheetViews>
    <sheetView topLeftCell="A640" zoomScale="90" zoomScaleNormal="90" workbookViewId="0">
      <selection activeCell="F696" sqref="F696"/>
    </sheetView>
  </sheetViews>
  <sheetFormatPr defaultRowHeight="16.5"/>
  <cols>
    <col min="1" max="1" width="4.625" style="14" customWidth="1"/>
    <col min="2" max="2" width="15.25" style="14" bestFit="1" customWidth="1"/>
    <col min="3" max="3" width="18.125" style="14" bestFit="1" customWidth="1"/>
    <col min="4" max="4" width="25.125" style="18" bestFit="1" customWidth="1"/>
    <col min="5" max="5" width="23.125" style="18" bestFit="1" customWidth="1"/>
    <col min="6" max="6" width="161.375" style="18" bestFit="1" customWidth="1"/>
    <col min="7" max="16384" width="9" style="14"/>
  </cols>
  <sheetData>
    <row r="2" spans="2:6">
      <c r="B2" s="12" t="s">
        <v>16</v>
      </c>
      <c r="C2" s="12" t="s">
        <v>17</v>
      </c>
      <c r="D2" s="13" t="s">
        <v>577</v>
      </c>
      <c r="E2" s="13"/>
      <c r="F2" s="19" t="s">
        <v>578</v>
      </c>
    </row>
    <row r="3" spans="2:6">
      <c r="B3" s="12"/>
      <c r="C3" s="12"/>
      <c r="D3" s="13"/>
      <c r="E3" s="30" t="s">
        <v>579</v>
      </c>
      <c r="F3" s="19" t="s">
        <v>580</v>
      </c>
    </row>
    <row r="4" spans="2:6">
      <c r="B4" s="12"/>
      <c r="C4" s="12"/>
      <c r="D4" s="13"/>
      <c r="E4" s="13"/>
      <c r="F4" s="19" t="s">
        <v>581</v>
      </c>
    </row>
    <row r="5" spans="2:6">
      <c r="B5" s="12"/>
      <c r="C5" s="12"/>
      <c r="D5" s="13"/>
      <c r="E5" s="13"/>
      <c r="F5" s="19" t="s">
        <v>582</v>
      </c>
    </row>
    <row r="6" spans="2:6">
      <c r="B6" s="12"/>
      <c r="C6" s="12"/>
      <c r="D6" s="13"/>
      <c r="E6" s="13"/>
      <c r="F6" s="19" t="s">
        <v>583</v>
      </c>
    </row>
    <row r="7" spans="2:6">
      <c r="B7" s="12"/>
      <c r="C7" s="12"/>
      <c r="D7" s="13"/>
      <c r="E7" s="13"/>
      <c r="F7" s="19" t="s">
        <v>584</v>
      </c>
    </row>
    <row r="8" spans="2:6">
      <c r="B8" s="12"/>
      <c r="C8" s="12"/>
      <c r="D8" s="13"/>
      <c r="E8" s="13"/>
      <c r="F8" s="19" t="s">
        <v>585</v>
      </c>
    </row>
    <row r="9" spans="2:6">
      <c r="B9" s="12"/>
      <c r="C9" s="12"/>
      <c r="D9" s="13"/>
      <c r="E9" s="13"/>
      <c r="F9" s="19" t="s">
        <v>586</v>
      </c>
    </row>
    <row r="10" spans="2:6">
      <c r="B10" s="12"/>
      <c r="C10" s="12"/>
      <c r="D10" s="13"/>
      <c r="E10" s="13"/>
      <c r="F10" s="19" t="s">
        <v>587</v>
      </c>
    </row>
    <row r="11" spans="2:6">
      <c r="B11" s="12"/>
      <c r="C11" s="12"/>
      <c r="D11" s="13"/>
      <c r="E11" s="13"/>
      <c r="F11" s="19" t="s">
        <v>588</v>
      </c>
    </row>
    <row r="12" spans="2:6">
      <c r="B12" s="12"/>
      <c r="C12" s="12"/>
      <c r="D12" s="13"/>
      <c r="E12" s="13"/>
      <c r="F12" s="19" t="s">
        <v>589</v>
      </c>
    </row>
    <row r="13" spans="2:6">
      <c r="B13" s="12"/>
      <c r="C13" s="12"/>
      <c r="D13" s="13"/>
      <c r="E13" s="13"/>
      <c r="F13" s="19" t="s">
        <v>590</v>
      </c>
    </row>
    <row r="14" spans="2:6">
      <c r="B14" s="12"/>
      <c r="C14" s="12"/>
      <c r="D14" s="13"/>
      <c r="E14" s="13"/>
      <c r="F14" s="19" t="s">
        <v>591</v>
      </c>
    </row>
    <row r="15" spans="2:6">
      <c r="B15" s="12"/>
      <c r="C15" s="12"/>
      <c r="D15" s="13"/>
      <c r="E15" s="13"/>
      <c r="F15" s="19" t="s">
        <v>592</v>
      </c>
    </row>
    <row r="16" spans="2:6">
      <c r="B16" s="12"/>
      <c r="C16" s="12"/>
      <c r="D16" s="13"/>
      <c r="E16" s="13"/>
      <c r="F16" s="19" t="s">
        <v>593</v>
      </c>
    </row>
    <row r="17" spans="2:6">
      <c r="B17" s="12"/>
      <c r="C17" s="12"/>
      <c r="D17" s="13"/>
      <c r="E17" s="13"/>
      <c r="F17" s="19" t="s">
        <v>594</v>
      </c>
    </row>
    <row r="18" spans="2:6">
      <c r="B18" s="12"/>
      <c r="C18" s="12"/>
      <c r="D18" s="13"/>
      <c r="E18" s="13"/>
      <c r="F18" s="19" t="s">
        <v>595</v>
      </c>
    </row>
    <row r="19" spans="2:6">
      <c r="B19" s="12"/>
      <c r="C19" s="12"/>
      <c r="D19" s="13"/>
      <c r="E19" s="13"/>
      <c r="F19" s="19"/>
    </row>
    <row r="20" spans="2:6">
      <c r="B20" s="12"/>
      <c r="C20" s="12"/>
      <c r="D20" s="13"/>
      <c r="E20" s="13" t="s">
        <v>18</v>
      </c>
      <c r="F20" s="19" t="s">
        <v>596</v>
      </c>
    </row>
    <row r="21" spans="2:6">
      <c r="B21" s="12"/>
      <c r="C21" s="12"/>
      <c r="D21" s="13"/>
      <c r="E21" s="30" t="s">
        <v>579</v>
      </c>
      <c r="F21" s="19" t="s">
        <v>597</v>
      </c>
    </row>
    <row r="22" spans="2:6">
      <c r="B22" s="12"/>
      <c r="C22" s="12"/>
      <c r="D22" s="13"/>
      <c r="E22" s="13"/>
      <c r="F22" s="19" t="s">
        <v>598</v>
      </c>
    </row>
    <row r="23" spans="2:6">
      <c r="B23" s="12"/>
      <c r="C23" s="12"/>
      <c r="D23" s="13"/>
      <c r="E23" s="13"/>
      <c r="F23" s="19" t="s">
        <v>599</v>
      </c>
    </row>
    <row r="24" spans="2:6">
      <c r="B24" s="12"/>
      <c r="C24" s="12"/>
      <c r="D24" s="13"/>
      <c r="E24" s="13"/>
      <c r="F24" s="19" t="s">
        <v>600</v>
      </c>
    </row>
    <row r="25" spans="2:6">
      <c r="B25" s="12"/>
      <c r="C25" s="12"/>
      <c r="D25" s="13"/>
      <c r="E25" s="13"/>
      <c r="F25" s="19" t="s">
        <v>601</v>
      </c>
    </row>
    <row r="26" spans="2:6">
      <c r="B26" s="12"/>
      <c r="C26" s="12"/>
      <c r="D26" s="13"/>
      <c r="E26" s="13"/>
      <c r="F26" s="19" t="s">
        <v>602</v>
      </c>
    </row>
    <row r="27" spans="2:6">
      <c r="B27" s="12"/>
      <c r="C27" s="12"/>
      <c r="D27" s="13"/>
      <c r="E27" s="13"/>
      <c r="F27" s="19" t="s">
        <v>603</v>
      </c>
    </row>
    <row r="28" spans="2:6">
      <c r="B28" s="12"/>
      <c r="C28" s="12"/>
      <c r="D28" s="13"/>
      <c r="E28" s="13"/>
      <c r="F28" s="19"/>
    </row>
    <row r="29" spans="2:6">
      <c r="B29" s="12"/>
      <c r="C29" s="12"/>
      <c r="D29" s="13" t="s">
        <v>32</v>
      </c>
      <c r="E29" s="13"/>
      <c r="F29" s="18" t="s">
        <v>604</v>
      </c>
    </row>
    <row r="30" spans="2:6">
      <c r="B30" s="12"/>
      <c r="C30" s="12"/>
      <c r="D30" s="13"/>
      <c r="E30" s="30" t="s">
        <v>579</v>
      </c>
      <c r="F30" s="18" t="s">
        <v>605</v>
      </c>
    </row>
    <row r="31" spans="2:6">
      <c r="B31" s="12"/>
      <c r="C31" s="12"/>
      <c r="D31" s="13"/>
      <c r="E31" s="31" t="s">
        <v>606</v>
      </c>
      <c r="F31" s="18" t="s">
        <v>607</v>
      </c>
    </row>
    <row r="32" spans="2:6">
      <c r="B32" s="12"/>
      <c r="C32" s="12"/>
      <c r="D32" s="13"/>
      <c r="E32" s="13"/>
      <c r="F32" s="18" t="s">
        <v>599</v>
      </c>
    </row>
    <row r="33" spans="2:6">
      <c r="B33" s="12"/>
      <c r="C33" s="12"/>
      <c r="D33" s="13"/>
      <c r="E33" s="13"/>
      <c r="F33" s="18" t="s">
        <v>608</v>
      </c>
    </row>
    <row r="34" spans="2:6">
      <c r="B34" s="12"/>
      <c r="C34" s="12"/>
      <c r="D34" s="13"/>
      <c r="E34" s="13"/>
      <c r="F34" s="18" t="s">
        <v>609</v>
      </c>
    </row>
    <row r="35" spans="2:6">
      <c r="B35" s="12"/>
      <c r="C35" s="12"/>
      <c r="D35" s="13"/>
      <c r="E35" s="13"/>
      <c r="F35" s="18" t="s">
        <v>610</v>
      </c>
    </row>
    <row r="36" spans="2:6">
      <c r="B36" s="12"/>
      <c r="C36" s="12"/>
      <c r="D36" s="13"/>
      <c r="E36" s="13"/>
      <c r="F36" s="18" t="s">
        <v>611</v>
      </c>
    </row>
    <row r="37" spans="2:6">
      <c r="B37" s="12"/>
      <c r="C37" s="12"/>
      <c r="D37" s="13"/>
      <c r="E37" s="13"/>
      <c r="F37" s="18" t="s">
        <v>612</v>
      </c>
    </row>
    <row r="38" spans="2:6">
      <c r="B38" s="12"/>
      <c r="C38" s="12"/>
      <c r="D38" s="13"/>
      <c r="E38" s="13"/>
      <c r="F38" s="18" t="s">
        <v>613</v>
      </c>
    </row>
    <row r="39" spans="2:6">
      <c r="B39" s="12"/>
      <c r="C39" s="12"/>
      <c r="D39" s="13"/>
      <c r="E39" s="13"/>
      <c r="F39" s="18" t="s">
        <v>614</v>
      </c>
    </row>
    <row r="40" spans="2:6">
      <c r="B40" s="12"/>
      <c r="C40" s="12"/>
      <c r="D40" s="13"/>
      <c r="E40" s="13"/>
      <c r="F40" s="18" t="s">
        <v>615</v>
      </c>
    </row>
    <row r="41" spans="2:6">
      <c r="B41" s="12"/>
      <c r="C41" s="12"/>
      <c r="D41" s="13"/>
      <c r="E41" s="13"/>
      <c r="F41" s="18" t="s">
        <v>616</v>
      </c>
    </row>
    <row r="42" spans="2:6">
      <c r="B42" s="12"/>
      <c r="C42" s="12"/>
      <c r="D42" s="13"/>
      <c r="E42" s="13"/>
      <c r="F42" s="18" t="s">
        <v>594</v>
      </c>
    </row>
    <row r="43" spans="2:6">
      <c r="B43" s="12"/>
      <c r="C43" s="12"/>
      <c r="D43" s="13"/>
      <c r="E43" s="13"/>
      <c r="F43" s="18" t="s">
        <v>617</v>
      </c>
    </row>
    <row r="44" spans="2:6">
      <c r="B44" s="12"/>
      <c r="C44" s="12"/>
      <c r="D44" s="13"/>
      <c r="E44" s="13"/>
    </row>
    <row r="45" spans="2:6">
      <c r="B45" s="12"/>
      <c r="C45" s="12"/>
      <c r="D45" s="13"/>
      <c r="E45" s="13" t="s">
        <v>33</v>
      </c>
      <c r="F45" s="19" t="s">
        <v>596</v>
      </c>
    </row>
    <row r="46" spans="2:6">
      <c r="B46" s="12"/>
      <c r="C46" s="12"/>
      <c r="D46" s="13"/>
      <c r="E46" s="30" t="s">
        <v>579</v>
      </c>
      <c r="F46" s="19" t="s">
        <v>597</v>
      </c>
    </row>
    <row r="47" spans="2:6">
      <c r="B47" s="12"/>
      <c r="C47" s="12"/>
      <c r="D47" s="13"/>
      <c r="E47" s="13"/>
      <c r="F47" s="19" t="s">
        <v>598</v>
      </c>
    </row>
    <row r="48" spans="2:6">
      <c r="B48" s="12"/>
      <c r="C48" s="12"/>
      <c r="D48" s="13"/>
      <c r="E48" s="13"/>
      <c r="F48" s="19" t="s">
        <v>599</v>
      </c>
    </row>
    <row r="49" spans="2:6">
      <c r="B49" s="12"/>
      <c r="C49" s="12"/>
      <c r="D49" s="13"/>
      <c r="E49" s="13"/>
      <c r="F49" s="19" t="s">
        <v>600</v>
      </c>
    </row>
    <row r="50" spans="2:6">
      <c r="B50" s="12"/>
      <c r="C50" s="12"/>
      <c r="D50" s="13"/>
      <c r="E50" s="13"/>
      <c r="F50" s="19" t="s">
        <v>601</v>
      </c>
    </row>
    <row r="51" spans="2:6">
      <c r="B51" s="12"/>
      <c r="C51" s="12"/>
      <c r="D51" s="13"/>
      <c r="E51" s="13"/>
      <c r="F51" s="19" t="s">
        <v>602</v>
      </c>
    </row>
    <row r="52" spans="2:6">
      <c r="B52" s="12"/>
      <c r="C52" s="12"/>
      <c r="D52" s="13"/>
      <c r="E52" s="13"/>
      <c r="F52" s="19" t="s">
        <v>618</v>
      </c>
    </row>
    <row r="53" spans="2:6">
      <c r="B53" s="12"/>
      <c r="C53" s="12"/>
      <c r="D53" s="13"/>
      <c r="E53" s="13"/>
      <c r="F53" s="19"/>
    </row>
    <row r="54" spans="2:6">
      <c r="B54" s="12"/>
      <c r="C54" s="12" t="s">
        <v>619</v>
      </c>
      <c r="D54" s="13" t="s">
        <v>524</v>
      </c>
      <c r="E54" s="13" t="s">
        <v>620</v>
      </c>
      <c r="F54" s="18" t="s">
        <v>621</v>
      </c>
    </row>
    <row r="55" spans="2:6">
      <c r="B55" s="12"/>
      <c r="C55" s="12"/>
      <c r="D55" s="13"/>
      <c r="E55" s="30" t="s">
        <v>622</v>
      </c>
      <c r="F55" s="18" t="s">
        <v>623</v>
      </c>
    </row>
    <row r="56" spans="2:6">
      <c r="B56" s="12"/>
      <c r="C56" s="12"/>
      <c r="D56" s="13"/>
      <c r="E56" s="31" t="s">
        <v>624</v>
      </c>
      <c r="F56" s="18" t="s">
        <v>587</v>
      </c>
    </row>
    <row r="57" spans="2:6">
      <c r="B57" s="12"/>
      <c r="C57" s="12"/>
      <c r="D57" s="13"/>
      <c r="E57" s="13"/>
      <c r="F57" s="18" t="s">
        <v>625</v>
      </c>
    </row>
    <row r="58" spans="2:6">
      <c r="B58" s="12"/>
      <c r="C58" s="12"/>
      <c r="D58" s="13"/>
      <c r="E58" s="13"/>
      <c r="F58" s="18" t="s">
        <v>626</v>
      </c>
    </row>
    <row r="59" spans="2:6">
      <c r="B59" s="12"/>
      <c r="C59" s="12"/>
      <c r="D59" s="13"/>
      <c r="E59" s="13"/>
      <c r="F59" s="18" t="s">
        <v>627</v>
      </c>
    </row>
    <row r="60" spans="2:6">
      <c r="B60" s="12"/>
      <c r="C60" s="12"/>
      <c r="D60" s="13"/>
      <c r="E60" s="13"/>
    </row>
    <row r="61" spans="2:6">
      <c r="B61" s="12"/>
      <c r="C61" s="12"/>
      <c r="D61" s="13"/>
      <c r="E61" s="13" t="s">
        <v>628</v>
      </c>
      <c r="F61" s="18" t="s">
        <v>621</v>
      </c>
    </row>
    <row r="62" spans="2:6">
      <c r="B62" s="12"/>
      <c r="C62" s="12"/>
      <c r="D62" s="13"/>
      <c r="E62" s="30" t="s">
        <v>622</v>
      </c>
      <c r="F62" s="18" t="s">
        <v>623</v>
      </c>
    </row>
    <row r="63" spans="2:6">
      <c r="B63" s="12"/>
      <c r="C63" s="12"/>
      <c r="D63" s="13"/>
      <c r="E63" s="31" t="s">
        <v>624</v>
      </c>
      <c r="F63" s="18" t="s">
        <v>587</v>
      </c>
    </row>
    <row r="64" spans="2:6">
      <c r="B64" s="12"/>
      <c r="C64" s="12"/>
      <c r="D64" s="13"/>
      <c r="E64" s="13"/>
      <c r="F64" s="18" t="s">
        <v>625</v>
      </c>
    </row>
    <row r="65" spans="2:6">
      <c r="B65" s="12"/>
      <c r="C65" s="12"/>
      <c r="D65" s="13"/>
      <c r="E65" s="13"/>
      <c r="F65" s="18" t="s">
        <v>626</v>
      </c>
    </row>
    <row r="66" spans="2:6">
      <c r="B66" s="12"/>
      <c r="C66" s="12"/>
      <c r="D66" s="13"/>
      <c r="E66" s="13"/>
    </row>
    <row r="67" spans="2:6">
      <c r="B67" s="12"/>
      <c r="C67" s="12"/>
      <c r="D67" s="13"/>
      <c r="E67" s="13" t="s">
        <v>629</v>
      </c>
      <c r="F67" s="18" t="s">
        <v>596</v>
      </c>
    </row>
    <row r="68" spans="2:6">
      <c r="B68" s="12"/>
      <c r="C68" s="12"/>
      <c r="D68" s="13"/>
      <c r="E68" s="30" t="s">
        <v>579</v>
      </c>
      <c r="F68" s="18" t="s">
        <v>597</v>
      </c>
    </row>
    <row r="69" spans="2:6">
      <c r="B69" s="12"/>
      <c r="C69" s="12"/>
      <c r="D69" s="13"/>
      <c r="E69" s="13"/>
      <c r="F69" s="18" t="s">
        <v>598</v>
      </c>
    </row>
    <row r="70" spans="2:6">
      <c r="B70" s="12"/>
      <c r="C70" s="12"/>
      <c r="D70" s="13"/>
      <c r="E70" s="13"/>
      <c r="F70" s="18" t="s">
        <v>599</v>
      </c>
    </row>
    <row r="71" spans="2:6">
      <c r="B71" s="12"/>
      <c r="C71" s="12"/>
      <c r="D71" s="13"/>
      <c r="E71" s="13"/>
      <c r="F71" s="18" t="s">
        <v>600</v>
      </c>
    </row>
    <row r="72" spans="2:6">
      <c r="B72" s="12"/>
      <c r="C72" s="12"/>
      <c r="D72" s="13"/>
      <c r="E72" s="13"/>
      <c r="F72" s="18" t="s">
        <v>601</v>
      </c>
    </row>
    <row r="73" spans="2:6">
      <c r="B73" s="12"/>
      <c r="C73" s="12"/>
      <c r="D73" s="13"/>
      <c r="E73" s="13"/>
      <c r="F73" s="18" t="s">
        <v>602</v>
      </c>
    </row>
    <row r="74" spans="2:6">
      <c r="B74" s="12"/>
      <c r="C74" s="12"/>
      <c r="D74" s="13"/>
      <c r="E74" s="13"/>
      <c r="F74" s="18" t="s">
        <v>630</v>
      </c>
    </row>
    <row r="75" spans="2:6">
      <c r="B75" s="12"/>
      <c r="C75" s="12"/>
      <c r="D75" s="13"/>
      <c r="E75" s="13"/>
    </row>
    <row r="76" spans="2:6">
      <c r="B76" s="12"/>
      <c r="C76" s="12"/>
      <c r="D76" s="13"/>
      <c r="E76" s="13" t="s">
        <v>631</v>
      </c>
      <c r="F76" s="18" t="s">
        <v>604</v>
      </c>
    </row>
    <row r="77" spans="2:6">
      <c r="B77" s="12"/>
      <c r="C77" s="12"/>
      <c r="D77" s="13"/>
      <c r="E77" s="31" t="s">
        <v>632</v>
      </c>
      <c r="F77" s="18" t="s">
        <v>605</v>
      </c>
    </row>
    <row r="78" spans="2:6">
      <c r="B78" s="12"/>
      <c r="C78" s="12"/>
      <c r="D78" s="13"/>
      <c r="E78" s="31" t="s">
        <v>633</v>
      </c>
      <c r="F78" s="18" t="s">
        <v>607</v>
      </c>
    </row>
    <row r="79" spans="2:6">
      <c r="B79" s="12"/>
      <c r="C79" s="12"/>
      <c r="D79" s="13"/>
      <c r="E79" s="13"/>
      <c r="F79" s="18" t="s">
        <v>599</v>
      </c>
    </row>
    <row r="80" spans="2:6">
      <c r="B80" s="12"/>
      <c r="C80" s="12"/>
      <c r="D80" s="13"/>
      <c r="E80" s="13"/>
      <c r="F80" s="18" t="s">
        <v>608</v>
      </c>
    </row>
    <row r="81" spans="2:6">
      <c r="B81" s="12"/>
      <c r="C81" s="12"/>
      <c r="D81" s="13"/>
      <c r="E81" s="13"/>
      <c r="F81" s="18" t="s">
        <v>609</v>
      </c>
    </row>
    <row r="82" spans="2:6">
      <c r="B82" s="12"/>
      <c r="C82" s="12"/>
      <c r="D82" s="13"/>
      <c r="E82" s="13"/>
      <c r="F82" s="18" t="s">
        <v>610</v>
      </c>
    </row>
    <row r="83" spans="2:6">
      <c r="B83" s="12"/>
      <c r="C83" s="12"/>
      <c r="D83" s="13"/>
      <c r="E83" s="13"/>
      <c r="F83" s="18" t="s">
        <v>611</v>
      </c>
    </row>
    <row r="84" spans="2:6">
      <c r="B84" s="12"/>
      <c r="C84" s="12"/>
      <c r="D84" s="13"/>
      <c r="E84" s="13"/>
      <c r="F84" s="18" t="s">
        <v>612</v>
      </c>
    </row>
    <row r="85" spans="2:6">
      <c r="B85" s="12"/>
      <c r="C85" s="12"/>
      <c r="D85" s="13"/>
      <c r="E85" s="13"/>
      <c r="F85" s="18" t="s">
        <v>613</v>
      </c>
    </row>
    <row r="86" spans="2:6">
      <c r="B86" s="12"/>
      <c r="C86" s="12"/>
      <c r="D86" s="13"/>
      <c r="E86" s="13"/>
      <c r="F86" s="18" t="s">
        <v>614</v>
      </c>
    </row>
    <row r="87" spans="2:6">
      <c r="B87" s="12"/>
      <c r="C87" s="12"/>
      <c r="D87" s="13"/>
      <c r="E87" s="13"/>
      <c r="F87" s="18" t="s">
        <v>615</v>
      </c>
    </row>
    <row r="88" spans="2:6">
      <c r="B88" s="12"/>
      <c r="C88" s="12"/>
      <c r="D88" s="13"/>
      <c r="E88" s="13"/>
      <c r="F88" s="18" t="s">
        <v>634</v>
      </c>
    </row>
    <row r="89" spans="2:6">
      <c r="B89" s="12"/>
      <c r="C89" s="12"/>
      <c r="D89" s="13"/>
      <c r="E89" s="13"/>
      <c r="F89" s="18" t="s">
        <v>635</v>
      </c>
    </row>
    <row r="90" spans="2:6">
      <c r="B90" s="12"/>
      <c r="C90" s="12"/>
      <c r="D90" s="13"/>
      <c r="E90" s="13"/>
      <c r="F90" s="18" t="s">
        <v>616</v>
      </c>
    </row>
    <row r="91" spans="2:6">
      <c r="B91" s="12"/>
      <c r="C91" s="12"/>
      <c r="D91" s="13"/>
      <c r="E91" s="13"/>
      <c r="F91" s="18" t="s">
        <v>594</v>
      </c>
    </row>
    <row r="92" spans="2:6">
      <c r="B92" s="12"/>
      <c r="C92" s="12"/>
      <c r="D92" s="13"/>
      <c r="E92" s="13"/>
      <c r="F92" s="18" t="s">
        <v>617</v>
      </c>
    </row>
    <row r="93" spans="2:6">
      <c r="B93" s="12"/>
      <c r="C93" s="12"/>
      <c r="D93" s="13"/>
      <c r="E93" s="13"/>
    </row>
    <row r="94" spans="2:6">
      <c r="B94" s="12"/>
      <c r="C94" s="12"/>
      <c r="D94" s="13" t="s">
        <v>636</v>
      </c>
      <c r="E94" s="13" t="s">
        <v>637</v>
      </c>
      <c r="F94" s="18" t="s">
        <v>638</v>
      </c>
    </row>
    <row r="95" spans="2:6">
      <c r="B95" s="12"/>
      <c r="C95" s="12"/>
      <c r="D95" s="13"/>
      <c r="E95" s="13"/>
      <c r="F95" s="18" t="s">
        <v>639</v>
      </c>
    </row>
    <row r="96" spans="2:6">
      <c r="B96" s="12"/>
      <c r="C96" s="12"/>
      <c r="D96" s="13"/>
      <c r="E96" s="13"/>
      <c r="F96" s="18" t="s">
        <v>640</v>
      </c>
    </row>
    <row r="97" spans="2:6">
      <c r="B97" s="12"/>
      <c r="C97" s="12"/>
      <c r="D97" s="13"/>
      <c r="E97" s="13"/>
      <c r="F97" s="18" t="s">
        <v>641</v>
      </c>
    </row>
    <row r="98" spans="2:6">
      <c r="B98" s="12"/>
      <c r="C98" s="12"/>
      <c r="D98" s="13"/>
      <c r="E98" s="13"/>
      <c r="F98" s="18" t="s">
        <v>642</v>
      </c>
    </row>
    <row r="99" spans="2:6">
      <c r="B99" s="12"/>
      <c r="C99" s="12"/>
      <c r="D99" s="13"/>
      <c r="E99" s="13"/>
      <c r="F99" s="18" t="s">
        <v>643</v>
      </c>
    </row>
    <row r="100" spans="2:6">
      <c r="B100" s="12"/>
      <c r="C100" s="12"/>
      <c r="D100" s="13"/>
      <c r="E100" s="13"/>
      <c r="F100" s="18" t="s">
        <v>644</v>
      </c>
    </row>
    <row r="101" spans="2:6">
      <c r="B101" s="12"/>
      <c r="C101" s="12"/>
      <c r="D101" s="13"/>
      <c r="E101" s="13"/>
      <c r="F101" s="18" t="s">
        <v>645</v>
      </c>
    </row>
    <row r="102" spans="2:6">
      <c r="B102" s="12"/>
      <c r="C102" s="12"/>
      <c r="D102" s="13"/>
      <c r="E102" s="13"/>
      <c r="F102" s="18" t="s">
        <v>646</v>
      </c>
    </row>
    <row r="103" spans="2:6">
      <c r="B103" s="12"/>
      <c r="C103" s="12"/>
      <c r="D103" s="13"/>
      <c r="E103" s="13"/>
      <c r="F103" s="18" t="s">
        <v>647</v>
      </c>
    </row>
    <row r="104" spans="2:6">
      <c r="B104" s="12"/>
      <c r="C104" s="12"/>
      <c r="D104" s="13"/>
      <c r="E104" s="13"/>
      <c r="F104" s="18" t="s">
        <v>648</v>
      </c>
    </row>
    <row r="105" spans="2:6">
      <c r="B105" s="12"/>
      <c r="C105" s="12"/>
      <c r="D105" s="13"/>
      <c r="E105" s="13"/>
      <c r="F105" s="18" t="s">
        <v>649</v>
      </c>
    </row>
    <row r="106" spans="2:6">
      <c r="B106" s="12"/>
      <c r="C106" s="12"/>
      <c r="D106" s="13"/>
      <c r="E106" s="13"/>
      <c r="F106" s="18" t="s">
        <v>641</v>
      </c>
    </row>
    <row r="107" spans="2:6">
      <c r="B107" s="12"/>
      <c r="C107" s="12"/>
      <c r="D107" s="13"/>
      <c r="E107" s="13"/>
      <c r="F107" s="18" t="s">
        <v>642</v>
      </c>
    </row>
    <row r="108" spans="2:6">
      <c r="B108" s="12"/>
      <c r="C108" s="12"/>
      <c r="D108" s="13"/>
      <c r="E108" s="13"/>
      <c r="F108" s="18" t="s">
        <v>643</v>
      </c>
    </row>
    <row r="109" spans="2:6">
      <c r="B109" s="12"/>
      <c r="C109" s="12"/>
      <c r="D109" s="13"/>
      <c r="E109" s="13"/>
      <c r="F109" s="18" t="s">
        <v>644</v>
      </c>
    </row>
    <row r="110" spans="2:6">
      <c r="B110" s="12"/>
      <c r="C110" s="12"/>
      <c r="D110" s="13"/>
      <c r="E110" s="13"/>
      <c r="F110" s="18" t="s">
        <v>650</v>
      </c>
    </row>
    <row r="111" spans="2:6">
      <c r="B111" s="12"/>
      <c r="C111" s="12"/>
      <c r="D111" s="13"/>
      <c r="E111" s="13"/>
      <c r="F111" s="18" t="s">
        <v>651</v>
      </c>
    </row>
    <row r="112" spans="2:6">
      <c r="B112" s="12"/>
      <c r="C112" s="12"/>
      <c r="D112" s="13"/>
      <c r="E112" s="13"/>
      <c r="F112" s="18" t="s">
        <v>652</v>
      </c>
    </row>
    <row r="113" spans="2:6">
      <c r="B113" s="12"/>
      <c r="C113" s="12"/>
      <c r="D113" s="13"/>
      <c r="E113" s="13"/>
      <c r="F113" s="18" t="s">
        <v>653</v>
      </c>
    </row>
    <row r="114" spans="2:6">
      <c r="B114" s="12"/>
      <c r="C114" s="12"/>
      <c r="D114" s="13"/>
      <c r="E114" s="13"/>
      <c r="F114" s="18" t="s">
        <v>654</v>
      </c>
    </row>
    <row r="115" spans="2:6">
      <c r="B115" s="12"/>
      <c r="C115" s="12"/>
      <c r="D115" s="13"/>
      <c r="E115" s="13"/>
      <c r="F115" s="18" t="s">
        <v>655</v>
      </c>
    </row>
    <row r="116" spans="2:6">
      <c r="B116" s="12"/>
      <c r="C116" s="12"/>
      <c r="D116" s="13"/>
      <c r="E116" s="13"/>
      <c r="F116" s="18" t="s">
        <v>656</v>
      </c>
    </row>
    <row r="117" spans="2:6">
      <c r="B117" s="12"/>
      <c r="C117" s="12"/>
      <c r="D117" s="13"/>
      <c r="E117" s="13"/>
      <c r="F117" s="18" t="s">
        <v>657</v>
      </c>
    </row>
    <row r="118" spans="2:6">
      <c r="B118" s="12"/>
      <c r="C118" s="12"/>
      <c r="D118" s="13"/>
      <c r="E118" s="13"/>
      <c r="F118" s="18" t="s">
        <v>658</v>
      </c>
    </row>
    <row r="119" spans="2:6">
      <c r="B119" s="12"/>
      <c r="C119" s="12"/>
      <c r="D119" s="13"/>
      <c r="E119" s="13"/>
      <c r="F119" s="18" t="s">
        <v>659</v>
      </c>
    </row>
    <row r="120" spans="2:6">
      <c r="B120" s="12"/>
      <c r="C120" s="12"/>
      <c r="D120" s="13"/>
      <c r="E120" s="13"/>
      <c r="F120" s="18" t="s">
        <v>642</v>
      </c>
    </row>
    <row r="121" spans="2:6">
      <c r="B121" s="12"/>
      <c r="C121" s="12"/>
      <c r="D121" s="13"/>
      <c r="E121" s="13"/>
      <c r="F121" s="18" t="s">
        <v>660</v>
      </c>
    </row>
    <row r="122" spans="2:6">
      <c r="B122" s="12"/>
      <c r="C122" s="12"/>
      <c r="D122" s="13"/>
      <c r="E122" s="13"/>
      <c r="F122" s="18" t="s">
        <v>661</v>
      </c>
    </row>
    <row r="123" spans="2:6">
      <c r="B123" s="12"/>
      <c r="C123" s="12"/>
      <c r="D123" s="13"/>
      <c r="E123" s="13"/>
      <c r="F123" s="18" t="s">
        <v>662</v>
      </c>
    </row>
    <row r="124" spans="2:6">
      <c r="B124" s="12"/>
      <c r="C124" s="12"/>
      <c r="D124" s="13"/>
      <c r="E124" s="13"/>
      <c r="F124" s="18" t="s">
        <v>663</v>
      </c>
    </row>
    <row r="125" spans="2:6">
      <c r="B125" s="12"/>
      <c r="C125" s="12"/>
      <c r="D125" s="13"/>
      <c r="E125" s="13"/>
      <c r="F125" s="18" t="s">
        <v>664</v>
      </c>
    </row>
    <row r="126" spans="2:6">
      <c r="B126" s="12"/>
      <c r="C126" s="12"/>
      <c r="D126" s="13"/>
      <c r="E126" s="13"/>
      <c r="F126" s="18" t="s">
        <v>665</v>
      </c>
    </row>
    <row r="127" spans="2:6">
      <c r="B127" s="12"/>
      <c r="C127" s="12"/>
      <c r="D127" s="13"/>
      <c r="E127" s="13"/>
      <c r="F127" s="18" t="s">
        <v>666</v>
      </c>
    </row>
    <row r="128" spans="2:6">
      <c r="B128" s="12"/>
      <c r="C128" s="12"/>
      <c r="D128" s="13"/>
      <c r="E128" s="13"/>
      <c r="F128" s="18" t="s">
        <v>667</v>
      </c>
    </row>
    <row r="129" spans="2:6">
      <c r="B129" s="12"/>
      <c r="C129" s="12"/>
      <c r="D129" s="13"/>
      <c r="E129" s="13"/>
      <c r="F129" s="18" t="s">
        <v>668</v>
      </c>
    </row>
    <row r="130" spans="2:6">
      <c r="B130" s="12"/>
      <c r="C130" s="12"/>
      <c r="D130" s="13"/>
      <c r="E130" s="13"/>
      <c r="F130" s="18" t="s">
        <v>669</v>
      </c>
    </row>
    <row r="131" spans="2:6">
      <c r="B131" s="12"/>
      <c r="C131" s="12"/>
      <c r="D131" s="13"/>
      <c r="E131" s="13"/>
      <c r="F131" s="18" t="s">
        <v>670</v>
      </c>
    </row>
    <row r="132" spans="2:6">
      <c r="B132" s="12"/>
      <c r="C132" s="12"/>
      <c r="D132" s="13"/>
      <c r="E132" s="13"/>
      <c r="F132" s="18" t="s">
        <v>671</v>
      </c>
    </row>
    <row r="133" spans="2:6">
      <c r="B133" s="12"/>
      <c r="C133" s="12"/>
      <c r="D133" s="13"/>
      <c r="E133" s="13"/>
      <c r="F133" s="18" t="s">
        <v>578</v>
      </c>
    </row>
    <row r="134" spans="2:6">
      <c r="B134" s="12"/>
      <c r="C134" s="12"/>
      <c r="D134" s="13"/>
      <c r="E134" s="13"/>
      <c r="F134" s="18" t="s">
        <v>672</v>
      </c>
    </row>
    <row r="135" spans="2:6">
      <c r="B135" s="12"/>
      <c r="C135" s="12"/>
      <c r="D135" s="13"/>
      <c r="E135" s="13"/>
      <c r="F135" s="18" t="s">
        <v>673</v>
      </c>
    </row>
    <row r="136" spans="2:6">
      <c r="B136" s="12"/>
      <c r="C136" s="12"/>
      <c r="D136" s="13"/>
      <c r="E136" s="13"/>
      <c r="F136" s="18" t="s">
        <v>674</v>
      </c>
    </row>
    <row r="137" spans="2:6">
      <c r="B137" s="12"/>
      <c r="C137" s="12"/>
      <c r="D137" s="13"/>
      <c r="E137" s="13"/>
      <c r="F137" s="18" t="s">
        <v>675</v>
      </c>
    </row>
    <row r="138" spans="2:6">
      <c r="B138" s="12"/>
      <c r="C138" s="12"/>
      <c r="D138" s="13"/>
      <c r="E138" s="13"/>
      <c r="F138" s="18" t="s">
        <v>676</v>
      </c>
    </row>
    <row r="139" spans="2:6">
      <c r="B139" s="12"/>
      <c r="C139" s="12"/>
      <c r="D139" s="13"/>
      <c r="E139" s="13"/>
      <c r="F139" s="18" t="s">
        <v>677</v>
      </c>
    </row>
    <row r="140" spans="2:6">
      <c r="B140" s="12"/>
      <c r="C140" s="12"/>
      <c r="D140" s="13"/>
      <c r="E140" s="13"/>
      <c r="F140" s="18" t="s">
        <v>583</v>
      </c>
    </row>
    <row r="141" spans="2:6">
      <c r="B141" s="12"/>
      <c r="C141" s="12"/>
      <c r="D141" s="13"/>
      <c r="E141" s="13"/>
      <c r="F141" s="18" t="s">
        <v>678</v>
      </c>
    </row>
    <row r="142" spans="2:6">
      <c r="B142" s="12"/>
      <c r="C142" s="12"/>
      <c r="D142" s="13"/>
      <c r="E142" s="13"/>
      <c r="F142" s="18" t="s">
        <v>679</v>
      </c>
    </row>
    <row r="143" spans="2:6">
      <c r="B143" s="12"/>
      <c r="C143" s="12"/>
      <c r="D143" s="13"/>
      <c r="E143" s="13"/>
      <c r="F143" s="18" t="s">
        <v>583</v>
      </c>
    </row>
    <row r="144" spans="2:6">
      <c r="B144" s="12"/>
      <c r="C144" s="12"/>
      <c r="D144" s="13"/>
      <c r="E144" s="13"/>
      <c r="F144" s="18" t="s">
        <v>680</v>
      </c>
    </row>
    <row r="145" spans="2:6">
      <c r="B145" s="12"/>
      <c r="C145" s="12"/>
      <c r="D145" s="13"/>
      <c r="E145" s="13"/>
    </row>
    <row r="146" spans="2:6">
      <c r="B146" s="12"/>
      <c r="C146" s="12"/>
      <c r="D146" s="13" t="s">
        <v>681</v>
      </c>
      <c r="E146" s="13" t="s">
        <v>682</v>
      </c>
      <c r="F146" s="18" t="s">
        <v>638</v>
      </c>
    </row>
    <row r="147" spans="2:6">
      <c r="B147" s="12"/>
      <c r="C147" s="12"/>
      <c r="D147" s="13"/>
      <c r="E147" s="13"/>
      <c r="F147" s="18" t="s">
        <v>639</v>
      </c>
    </row>
    <row r="148" spans="2:6">
      <c r="B148" s="12"/>
      <c r="C148" s="12"/>
      <c r="D148" s="13"/>
      <c r="E148" s="13"/>
      <c r="F148" s="18" t="s">
        <v>640</v>
      </c>
    </row>
    <row r="149" spans="2:6">
      <c r="B149" s="12"/>
      <c r="C149" s="12"/>
      <c r="D149" s="13"/>
      <c r="E149" s="13"/>
      <c r="F149" s="18" t="s">
        <v>641</v>
      </c>
    </row>
    <row r="150" spans="2:6">
      <c r="B150" s="12"/>
      <c r="C150" s="12"/>
      <c r="D150" s="13"/>
      <c r="E150" s="13"/>
      <c r="F150" s="18" t="s">
        <v>642</v>
      </c>
    </row>
    <row r="151" spans="2:6">
      <c r="B151" s="12"/>
      <c r="C151" s="12"/>
      <c r="D151" s="13"/>
      <c r="E151" s="13"/>
      <c r="F151" s="18" t="s">
        <v>643</v>
      </c>
    </row>
    <row r="152" spans="2:6">
      <c r="B152" s="12"/>
      <c r="C152" s="12"/>
      <c r="D152" s="13"/>
      <c r="E152" s="13"/>
      <c r="F152" s="18" t="s">
        <v>644</v>
      </c>
    </row>
    <row r="153" spans="2:6">
      <c r="B153" s="12"/>
      <c r="C153" s="12"/>
      <c r="D153" s="13"/>
      <c r="E153" s="13"/>
      <c r="F153" s="18" t="s">
        <v>645</v>
      </c>
    </row>
    <row r="154" spans="2:6">
      <c r="B154" s="12"/>
      <c r="C154" s="12"/>
      <c r="D154" s="13"/>
      <c r="E154" s="13"/>
      <c r="F154" s="18" t="s">
        <v>646</v>
      </c>
    </row>
    <row r="155" spans="2:6">
      <c r="B155" s="12"/>
      <c r="C155" s="12"/>
      <c r="D155" s="13"/>
      <c r="E155" s="13"/>
      <c r="F155" s="18" t="s">
        <v>647</v>
      </c>
    </row>
    <row r="156" spans="2:6">
      <c r="B156" s="12"/>
      <c r="C156" s="12"/>
      <c r="D156" s="13"/>
      <c r="E156" s="13"/>
      <c r="F156" s="18" t="s">
        <v>683</v>
      </c>
    </row>
    <row r="157" spans="2:6">
      <c r="B157" s="12"/>
      <c r="C157" s="12"/>
      <c r="D157" s="13"/>
      <c r="E157" s="13"/>
      <c r="F157" s="18" t="s">
        <v>649</v>
      </c>
    </row>
    <row r="158" spans="2:6">
      <c r="B158" s="12"/>
      <c r="C158" s="12"/>
      <c r="D158" s="13"/>
      <c r="E158" s="13"/>
      <c r="F158" s="18" t="s">
        <v>641</v>
      </c>
    </row>
    <row r="159" spans="2:6">
      <c r="B159" s="12"/>
      <c r="C159" s="12"/>
      <c r="D159" s="13"/>
      <c r="E159" s="13"/>
      <c r="F159" s="18" t="s">
        <v>642</v>
      </c>
    </row>
    <row r="160" spans="2:6">
      <c r="B160" s="12"/>
      <c r="C160" s="12"/>
      <c r="D160" s="13"/>
      <c r="E160" s="13"/>
      <c r="F160" s="18" t="s">
        <v>643</v>
      </c>
    </row>
    <row r="161" spans="2:6">
      <c r="B161" s="12"/>
      <c r="C161" s="12"/>
      <c r="D161" s="13"/>
      <c r="E161" s="13"/>
      <c r="F161" s="18" t="s">
        <v>644</v>
      </c>
    </row>
    <row r="162" spans="2:6">
      <c r="B162" s="12"/>
      <c r="C162" s="12"/>
      <c r="D162" s="13"/>
      <c r="E162" s="13"/>
      <c r="F162" s="18" t="s">
        <v>650</v>
      </c>
    </row>
    <row r="163" spans="2:6">
      <c r="B163" s="12"/>
      <c r="C163" s="12"/>
      <c r="D163" s="13"/>
      <c r="E163" s="13"/>
      <c r="F163" s="18" t="s">
        <v>684</v>
      </c>
    </row>
    <row r="164" spans="2:6">
      <c r="B164" s="12"/>
      <c r="C164" s="12"/>
      <c r="D164" s="13"/>
      <c r="E164" s="13"/>
      <c r="F164" s="18" t="s">
        <v>652</v>
      </c>
    </row>
    <row r="165" spans="2:6">
      <c r="B165" s="12"/>
      <c r="C165" s="12"/>
      <c r="D165" s="13"/>
      <c r="E165" s="13"/>
      <c r="F165" s="18" t="s">
        <v>653</v>
      </c>
    </row>
    <row r="166" spans="2:6">
      <c r="B166" s="12"/>
      <c r="C166" s="12"/>
      <c r="D166" s="13"/>
      <c r="E166" s="13"/>
      <c r="F166" s="18" t="s">
        <v>654</v>
      </c>
    </row>
    <row r="167" spans="2:6">
      <c r="B167" s="12"/>
      <c r="C167" s="12"/>
      <c r="D167" s="13"/>
      <c r="E167" s="13"/>
      <c r="F167" s="18" t="s">
        <v>655</v>
      </c>
    </row>
    <row r="168" spans="2:6">
      <c r="B168" s="12"/>
      <c r="C168" s="12"/>
      <c r="D168" s="13"/>
      <c r="E168" s="13"/>
      <c r="F168" s="18" t="s">
        <v>656</v>
      </c>
    </row>
    <row r="169" spans="2:6">
      <c r="B169" s="12"/>
      <c r="C169" s="12"/>
      <c r="D169" s="13"/>
      <c r="E169" s="13"/>
      <c r="F169" s="18" t="s">
        <v>657</v>
      </c>
    </row>
    <row r="170" spans="2:6">
      <c r="B170" s="12"/>
      <c r="C170" s="12"/>
      <c r="D170" s="13"/>
      <c r="E170" s="13"/>
      <c r="F170" s="18" t="s">
        <v>658</v>
      </c>
    </row>
    <row r="171" spans="2:6">
      <c r="B171" s="12"/>
      <c r="C171" s="12"/>
      <c r="D171" s="13"/>
      <c r="E171" s="13"/>
      <c r="F171" s="18" t="s">
        <v>659</v>
      </c>
    </row>
    <row r="172" spans="2:6">
      <c r="B172" s="12"/>
      <c r="C172" s="12"/>
      <c r="D172" s="13"/>
      <c r="E172" s="13"/>
      <c r="F172" s="18" t="s">
        <v>642</v>
      </c>
    </row>
    <row r="173" spans="2:6">
      <c r="B173" s="12"/>
      <c r="C173" s="12"/>
      <c r="D173" s="13"/>
      <c r="E173" s="13"/>
      <c r="F173" s="18" t="s">
        <v>660</v>
      </c>
    </row>
    <row r="174" spans="2:6">
      <c r="B174" s="12"/>
      <c r="C174" s="12"/>
      <c r="D174" s="13"/>
      <c r="E174" s="13"/>
      <c r="F174" s="18" t="s">
        <v>661</v>
      </c>
    </row>
    <row r="175" spans="2:6">
      <c r="B175" s="12"/>
      <c r="C175" s="12"/>
      <c r="D175" s="13"/>
      <c r="E175" s="13"/>
      <c r="F175" s="18" t="s">
        <v>662</v>
      </c>
    </row>
    <row r="176" spans="2:6">
      <c r="B176" s="12"/>
      <c r="C176" s="12"/>
      <c r="D176" s="13"/>
      <c r="E176" s="13"/>
      <c r="F176" s="18" t="s">
        <v>663</v>
      </c>
    </row>
    <row r="177" spans="2:6">
      <c r="B177" s="12"/>
      <c r="C177" s="12"/>
      <c r="D177" s="13"/>
      <c r="E177" s="13"/>
      <c r="F177" s="18" t="s">
        <v>664</v>
      </c>
    </row>
    <row r="178" spans="2:6">
      <c r="B178" s="12"/>
      <c r="C178" s="12"/>
      <c r="D178" s="13"/>
      <c r="E178" s="13"/>
      <c r="F178" s="18" t="s">
        <v>665</v>
      </c>
    </row>
    <row r="179" spans="2:6">
      <c r="B179" s="12"/>
      <c r="C179" s="12"/>
      <c r="D179" s="13"/>
      <c r="E179" s="13"/>
      <c r="F179" s="18" t="s">
        <v>666</v>
      </c>
    </row>
    <row r="180" spans="2:6">
      <c r="B180" s="12"/>
      <c r="C180" s="12"/>
      <c r="D180" s="13"/>
      <c r="E180" s="13"/>
      <c r="F180" s="18" t="s">
        <v>667</v>
      </c>
    </row>
    <row r="181" spans="2:6">
      <c r="B181" s="12"/>
      <c r="C181" s="12"/>
      <c r="D181" s="13"/>
      <c r="E181" s="13"/>
      <c r="F181" s="18" t="s">
        <v>668</v>
      </c>
    </row>
    <row r="182" spans="2:6">
      <c r="B182" s="12"/>
      <c r="C182" s="12"/>
      <c r="D182" s="13"/>
      <c r="E182" s="13"/>
      <c r="F182" s="18" t="s">
        <v>669</v>
      </c>
    </row>
    <row r="183" spans="2:6">
      <c r="B183" s="12"/>
      <c r="C183" s="12"/>
      <c r="D183" s="13"/>
      <c r="E183" s="13"/>
      <c r="F183" s="18" t="s">
        <v>670</v>
      </c>
    </row>
    <row r="184" spans="2:6">
      <c r="B184" s="12"/>
      <c r="C184" s="12"/>
      <c r="D184" s="13"/>
      <c r="E184" s="13"/>
      <c r="F184" s="18" t="s">
        <v>671</v>
      </c>
    </row>
    <row r="185" spans="2:6">
      <c r="B185" s="12"/>
      <c r="C185" s="12"/>
      <c r="D185" s="13"/>
      <c r="E185" s="13"/>
      <c r="F185" s="18" t="s">
        <v>578</v>
      </c>
    </row>
    <row r="186" spans="2:6">
      <c r="B186" s="12"/>
      <c r="C186" s="12"/>
      <c r="D186" s="13"/>
      <c r="E186" s="13"/>
      <c r="F186" s="18" t="s">
        <v>672</v>
      </c>
    </row>
    <row r="187" spans="2:6">
      <c r="B187" s="12"/>
      <c r="C187" s="12"/>
      <c r="D187" s="13"/>
      <c r="E187" s="13"/>
      <c r="F187" s="18" t="s">
        <v>673</v>
      </c>
    </row>
    <row r="188" spans="2:6">
      <c r="B188" s="12"/>
      <c r="C188" s="12"/>
      <c r="D188" s="13"/>
      <c r="E188" s="13"/>
      <c r="F188" s="18" t="s">
        <v>674</v>
      </c>
    </row>
    <row r="189" spans="2:6">
      <c r="B189" s="12"/>
      <c r="C189" s="12"/>
      <c r="D189" s="13"/>
      <c r="E189" s="13"/>
      <c r="F189" s="18" t="s">
        <v>675</v>
      </c>
    </row>
    <row r="190" spans="2:6">
      <c r="B190" s="12"/>
      <c r="C190" s="12"/>
      <c r="D190" s="13"/>
      <c r="E190" s="13"/>
      <c r="F190" s="18" t="s">
        <v>676</v>
      </c>
    </row>
    <row r="191" spans="2:6">
      <c r="B191" s="12"/>
      <c r="C191" s="12"/>
      <c r="D191" s="13"/>
      <c r="E191" s="13"/>
      <c r="F191" s="18" t="s">
        <v>677</v>
      </c>
    </row>
    <row r="192" spans="2:6">
      <c r="B192" s="12"/>
      <c r="C192" s="12"/>
      <c r="D192" s="13"/>
      <c r="E192" s="13"/>
      <c r="F192" s="18" t="s">
        <v>583</v>
      </c>
    </row>
    <row r="193" spans="2:6">
      <c r="B193" s="12"/>
      <c r="C193" s="12"/>
      <c r="D193" s="13"/>
      <c r="E193" s="13"/>
      <c r="F193" s="18" t="s">
        <v>678</v>
      </c>
    </row>
    <row r="194" spans="2:6">
      <c r="B194" s="12"/>
      <c r="C194" s="12"/>
      <c r="D194" s="13"/>
      <c r="E194" s="13"/>
      <c r="F194" s="18" t="s">
        <v>679</v>
      </c>
    </row>
    <row r="195" spans="2:6">
      <c r="B195" s="12"/>
      <c r="C195" s="12"/>
      <c r="D195" s="13"/>
      <c r="E195" s="13"/>
      <c r="F195" s="18" t="s">
        <v>583</v>
      </c>
    </row>
    <row r="196" spans="2:6">
      <c r="B196" s="12"/>
      <c r="C196" s="12"/>
      <c r="D196" s="13"/>
      <c r="E196" s="13"/>
      <c r="F196" s="18" t="s">
        <v>680</v>
      </c>
    </row>
    <row r="197" spans="2:6">
      <c r="B197" s="12"/>
      <c r="C197" s="12"/>
      <c r="D197" s="13"/>
      <c r="E197" s="13"/>
    </row>
    <row r="198" spans="2:6">
      <c r="B198" s="12"/>
      <c r="C198" s="12"/>
      <c r="D198" s="13" t="s">
        <v>685</v>
      </c>
      <c r="E198" s="13" t="s">
        <v>686</v>
      </c>
      <c r="F198" s="18" t="s">
        <v>638</v>
      </c>
    </row>
    <row r="199" spans="2:6">
      <c r="B199" s="12"/>
      <c r="C199" s="12"/>
      <c r="D199" s="13"/>
      <c r="E199" s="13"/>
      <c r="F199" s="18" t="s">
        <v>639</v>
      </c>
    </row>
    <row r="200" spans="2:6">
      <c r="B200" s="12"/>
      <c r="C200" s="12"/>
      <c r="D200" s="13"/>
      <c r="E200" s="13"/>
      <c r="F200" s="18" t="s">
        <v>640</v>
      </c>
    </row>
    <row r="201" spans="2:6">
      <c r="B201" s="12"/>
      <c r="C201" s="12"/>
      <c r="D201" s="13"/>
      <c r="E201" s="13"/>
      <c r="F201" s="18" t="s">
        <v>641</v>
      </c>
    </row>
    <row r="202" spans="2:6">
      <c r="B202" s="12"/>
      <c r="C202" s="12"/>
      <c r="D202" s="13"/>
      <c r="E202" s="13"/>
      <c r="F202" s="18" t="s">
        <v>642</v>
      </c>
    </row>
    <row r="203" spans="2:6">
      <c r="B203" s="12"/>
      <c r="C203" s="12"/>
      <c r="D203" s="13"/>
      <c r="E203" s="13"/>
      <c r="F203" s="18" t="s">
        <v>643</v>
      </c>
    </row>
    <row r="204" spans="2:6">
      <c r="B204" s="12"/>
      <c r="C204" s="12"/>
      <c r="D204" s="13"/>
      <c r="E204" s="13"/>
      <c r="F204" s="18" t="s">
        <v>644</v>
      </c>
    </row>
    <row r="205" spans="2:6">
      <c r="B205" s="12"/>
      <c r="C205" s="12"/>
      <c r="D205" s="13"/>
      <c r="E205" s="13"/>
      <c r="F205" s="18" t="s">
        <v>645</v>
      </c>
    </row>
    <row r="206" spans="2:6">
      <c r="B206" s="12"/>
      <c r="C206" s="12"/>
      <c r="D206" s="13"/>
      <c r="E206" s="13"/>
      <c r="F206" s="18" t="s">
        <v>646</v>
      </c>
    </row>
    <row r="207" spans="2:6">
      <c r="B207" s="12"/>
      <c r="C207" s="12"/>
      <c r="D207" s="13"/>
      <c r="E207" s="13"/>
      <c r="F207" s="18" t="s">
        <v>647</v>
      </c>
    </row>
    <row r="208" spans="2:6">
      <c r="B208" s="12"/>
      <c r="C208" s="12"/>
      <c r="D208" s="13"/>
      <c r="E208" s="13"/>
      <c r="F208" s="18" t="s">
        <v>683</v>
      </c>
    </row>
    <row r="209" spans="2:6">
      <c r="B209" s="12"/>
      <c r="C209" s="12"/>
      <c r="D209" s="13"/>
      <c r="E209" s="13"/>
      <c r="F209" s="18" t="s">
        <v>649</v>
      </c>
    </row>
    <row r="210" spans="2:6">
      <c r="B210" s="12"/>
      <c r="C210" s="12"/>
      <c r="D210" s="13"/>
      <c r="E210" s="13"/>
      <c r="F210" s="18" t="s">
        <v>641</v>
      </c>
    </row>
    <row r="211" spans="2:6">
      <c r="B211" s="12"/>
      <c r="C211" s="12"/>
      <c r="D211" s="13"/>
      <c r="E211" s="13"/>
      <c r="F211" s="18" t="s">
        <v>642</v>
      </c>
    </row>
    <row r="212" spans="2:6">
      <c r="B212" s="12"/>
      <c r="C212" s="12"/>
      <c r="D212" s="13"/>
      <c r="E212" s="13"/>
      <c r="F212" s="18" t="s">
        <v>643</v>
      </c>
    </row>
    <row r="213" spans="2:6">
      <c r="B213" s="12"/>
      <c r="C213" s="12"/>
      <c r="D213" s="13"/>
      <c r="E213" s="13"/>
      <c r="F213" s="18" t="s">
        <v>644</v>
      </c>
    </row>
    <row r="214" spans="2:6">
      <c r="B214" s="12"/>
      <c r="C214" s="12"/>
      <c r="D214" s="13"/>
      <c r="E214" s="13"/>
      <c r="F214" s="18" t="s">
        <v>650</v>
      </c>
    </row>
    <row r="215" spans="2:6">
      <c r="B215" s="12"/>
      <c r="C215" s="12"/>
      <c r="D215" s="13"/>
      <c r="E215" s="13"/>
      <c r="F215" s="18" t="s">
        <v>687</v>
      </c>
    </row>
    <row r="216" spans="2:6">
      <c r="B216" s="12"/>
      <c r="C216" s="12"/>
      <c r="D216" s="13"/>
      <c r="E216" s="13"/>
      <c r="F216" s="18" t="s">
        <v>652</v>
      </c>
    </row>
    <row r="217" spans="2:6">
      <c r="B217" s="12"/>
      <c r="C217" s="12"/>
      <c r="D217" s="13"/>
      <c r="E217" s="13"/>
      <c r="F217" s="18" t="s">
        <v>653</v>
      </c>
    </row>
    <row r="218" spans="2:6">
      <c r="B218" s="12"/>
      <c r="C218" s="12"/>
      <c r="D218" s="13"/>
      <c r="E218" s="13"/>
      <c r="F218" s="18" t="s">
        <v>654</v>
      </c>
    </row>
    <row r="219" spans="2:6">
      <c r="B219" s="12"/>
      <c r="C219" s="12"/>
      <c r="D219" s="13"/>
      <c r="E219" s="13"/>
      <c r="F219" s="18" t="s">
        <v>655</v>
      </c>
    </row>
    <row r="220" spans="2:6">
      <c r="B220" s="12"/>
      <c r="C220" s="12"/>
      <c r="D220" s="13"/>
      <c r="E220" s="13"/>
      <c r="F220" s="18" t="s">
        <v>656</v>
      </c>
    </row>
    <row r="221" spans="2:6">
      <c r="B221" s="12"/>
      <c r="C221" s="12"/>
      <c r="D221" s="13"/>
      <c r="E221" s="13"/>
      <c r="F221" s="18" t="s">
        <v>657</v>
      </c>
    </row>
    <row r="222" spans="2:6">
      <c r="B222" s="12"/>
      <c r="C222" s="12"/>
      <c r="D222" s="13"/>
      <c r="E222" s="13"/>
      <c r="F222" s="18" t="s">
        <v>658</v>
      </c>
    </row>
    <row r="223" spans="2:6">
      <c r="B223" s="12"/>
      <c r="C223" s="12"/>
      <c r="D223" s="13"/>
      <c r="E223" s="13"/>
      <c r="F223" s="18" t="s">
        <v>659</v>
      </c>
    </row>
    <row r="224" spans="2:6">
      <c r="B224" s="12"/>
      <c r="C224" s="12"/>
      <c r="D224" s="13"/>
      <c r="E224" s="13"/>
      <c r="F224" s="18" t="s">
        <v>642</v>
      </c>
    </row>
    <row r="225" spans="2:6">
      <c r="B225" s="12"/>
      <c r="C225" s="12"/>
      <c r="D225" s="13"/>
      <c r="E225" s="13"/>
      <c r="F225" s="18" t="s">
        <v>660</v>
      </c>
    </row>
    <row r="226" spans="2:6">
      <c r="B226" s="12"/>
      <c r="C226" s="12"/>
      <c r="D226" s="13"/>
      <c r="E226" s="13"/>
      <c r="F226" s="18" t="s">
        <v>661</v>
      </c>
    </row>
    <row r="227" spans="2:6">
      <c r="B227" s="12"/>
      <c r="C227" s="12"/>
      <c r="D227" s="13"/>
      <c r="E227" s="13"/>
      <c r="F227" s="18" t="s">
        <v>662</v>
      </c>
    </row>
    <row r="228" spans="2:6">
      <c r="B228" s="12"/>
      <c r="C228" s="12"/>
      <c r="D228" s="13"/>
      <c r="E228" s="13"/>
      <c r="F228" s="18" t="s">
        <v>663</v>
      </c>
    </row>
    <row r="229" spans="2:6">
      <c r="B229" s="12"/>
      <c r="C229" s="12"/>
      <c r="D229" s="13"/>
      <c r="E229" s="13"/>
      <c r="F229" s="18" t="s">
        <v>664</v>
      </c>
    </row>
    <row r="230" spans="2:6">
      <c r="B230" s="12"/>
      <c r="C230" s="12"/>
      <c r="D230" s="13"/>
      <c r="E230" s="13"/>
      <c r="F230" s="18" t="s">
        <v>665</v>
      </c>
    </row>
    <row r="231" spans="2:6">
      <c r="B231" s="12"/>
      <c r="C231" s="12"/>
      <c r="D231" s="13"/>
      <c r="E231" s="13"/>
      <c r="F231" s="18" t="s">
        <v>666</v>
      </c>
    </row>
    <row r="232" spans="2:6">
      <c r="B232" s="12"/>
      <c r="C232" s="12"/>
      <c r="D232" s="13"/>
      <c r="E232" s="13"/>
      <c r="F232" s="18" t="s">
        <v>667</v>
      </c>
    </row>
    <row r="233" spans="2:6">
      <c r="B233" s="12"/>
      <c r="C233" s="12"/>
      <c r="D233" s="13"/>
      <c r="E233" s="13"/>
      <c r="F233" s="18" t="s">
        <v>668</v>
      </c>
    </row>
    <row r="234" spans="2:6">
      <c r="B234" s="12"/>
      <c r="C234" s="12"/>
      <c r="D234" s="13"/>
      <c r="E234" s="13"/>
      <c r="F234" s="18" t="s">
        <v>669</v>
      </c>
    </row>
    <row r="235" spans="2:6">
      <c r="B235" s="12"/>
      <c r="C235" s="12"/>
      <c r="D235" s="13"/>
      <c r="E235" s="13"/>
      <c r="F235" s="18" t="s">
        <v>670</v>
      </c>
    </row>
    <row r="236" spans="2:6">
      <c r="B236" s="12"/>
      <c r="C236" s="12"/>
      <c r="D236" s="13"/>
      <c r="E236" s="13"/>
      <c r="F236" s="18" t="s">
        <v>671</v>
      </c>
    </row>
    <row r="237" spans="2:6">
      <c r="B237" s="12"/>
      <c r="C237" s="12"/>
      <c r="D237" s="13"/>
      <c r="E237" s="13"/>
      <c r="F237" s="18" t="s">
        <v>578</v>
      </c>
    </row>
    <row r="238" spans="2:6">
      <c r="B238" s="12"/>
      <c r="C238" s="12"/>
      <c r="D238" s="13"/>
      <c r="E238" s="13"/>
      <c r="F238" s="18" t="s">
        <v>672</v>
      </c>
    </row>
    <row r="239" spans="2:6">
      <c r="B239" s="12"/>
      <c r="C239" s="12"/>
      <c r="D239" s="13"/>
      <c r="E239" s="13"/>
      <c r="F239" s="18" t="s">
        <v>673</v>
      </c>
    </row>
    <row r="240" spans="2:6">
      <c r="B240" s="12"/>
      <c r="C240" s="12"/>
      <c r="D240" s="13"/>
      <c r="E240" s="13"/>
      <c r="F240" s="18" t="s">
        <v>674</v>
      </c>
    </row>
    <row r="241" spans="2:6">
      <c r="B241" s="12"/>
      <c r="C241" s="12"/>
      <c r="D241" s="13"/>
      <c r="E241" s="13"/>
      <c r="F241" s="18" t="s">
        <v>675</v>
      </c>
    </row>
    <row r="242" spans="2:6">
      <c r="B242" s="12"/>
      <c r="C242" s="12"/>
      <c r="D242" s="13"/>
      <c r="E242" s="13"/>
      <c r="F242" s="18" t="s">
        <v>676</v>
      </c>
    </row>
    <row r="243" spans="2:6">
      <c r="B243" s="12"/>
      <c r="C243" s="12"/>
      <c r="D243" s="13"/>
      <c r="E243" s="13"/>
      <c r="F243" s="18" t="s">
        <v>677</v>
      </c>
    </row>
    <row r="244" spans="2:6">
      <c r="B244" s="12"/>
      <c r="C244" s="12"/>
      <c r="D244" s="13"/>
      <c r="E244" s="13"/>
      <c r="F244" s="18" t="s">
        <v>583</v>
      </c>
    </row>
    <row r="245" spans="2:6">
      <c r="B245" s="12"/>
      <c r="C245" s="12"/>
      <c r="D245" s="13"/>
      <c r="E245" s="13"/>
      <c r="F245" s="18" t="s">
        <v>678</v>
      </c>
    </row>
    <row r="246" spans="2:6">
      <c r="B246" s="12"/>
      <c r="C246" s="12"/>
      <c r="D246" s="13"/>
      <c r="E246" s="13"/>
      <c r="F246" s="18" t="s">
        <v>679</v>
      </c>
    </row>
    <row r="247" spans="2:6">
      <c r="B247" s="12"/>
      <c r="C247" s="12"/>
      <c r="D247" s="13"/>
      <c r="E247" s="13"/>
      <c r="F247" s="18" t="s">
        <v>583</v>
      </c>
    </row>
    <row r="248" spans="2:6">
      <c r="B248" s="12"/>
      <c r="C248" s="12"/>
      <c r="D248" s="13"/>
      <c r="E248" s="13"/>
      <c r="F248" s="18" t="s">
        <v>680</v>
      </c>
    </row>
    <row r="249" spans="2:6">
      <c r="B249" s="12"/>
      <c r="C249" s="12"/>
      <c r="D249" s="13"/>
      <c r="E249" s="13"/>
    </row>
    <row r="250" spans="2:6">
      <c r="B250" s="12"/>
      <c r="C250" s="12" t="s">
        <v>77</v>
      </c>
      <c r="D250" s="13" t="s">
        <v>77</v>
      </c>
      <c r="E250" s="13"/>
      <c r="F250" s="18" t="s">
        <v>578</v>
      </c>
    </row>
    <row r="251" spans="2:6">
      <c r="B251" s="12"/>
      <c r="C251" s="12"/>
      <c r="D251" s="13"/>
      <c r="E251" s="30" t="s">
        <v>579</v>
      </c>
      <c r="F251" s="18" t="s">
        <v>580</v>
      </c>
    </row>
    <row r="252" spans="2:6">
      <c r="B252" s="12"/>
      <c r="C252" s="12"/>
      <c r="D252" s="13"/>
      <c r="E252" s="13"/>
      <c r="F252" s="18" t="s">
        <v>581</v>
      </c>
    </row>
    <row r="253" spans="2:6">
      <c r="B253" s="12"/>
      <c r="C253" s="12"/>
      <c r="D253" s="13"/>
      <c r="E253" s="13"/>
      <c r="F253" s="18" t="s">
        <v>582</v>
      </c>
    </row>
    <row r="254" spans="2:6">
      <c r="B254" s="12"/>
      <c r="C254" s="12"/>
      <c r="D254" s="13"/>
      <c r="E254" s="13"/>
      <c r="F254" s="18" t="s">
        <v>583</v>
      </c>
    </row>
    <row r="255" spans="2:6">
      <c r="B255" s="12"/>
      <c r="C255" s="12"/>
      <c r="D255" s="13"/>
      <c r="E255" s="13"/>
      <c r="F255" s="18" t="s">
        <v>584</v>
      </c>
    </row>
    <row r="256" spans="2:6">
      <c r="B256" s="12"/>
      <c r="C256" s="12"/>
      <c r="D256" s="13"/>
      <c r="E256" s="13"/>
      <c r="F256" s="18" t="s">
        <v>585</v>
      </c>
    </row>
    <row r="257" spans="2:6">
      <c r="B257" s="12"/>
      <c r="C257" s="12"/>
      <c r="D257" s="13"/>
      <c r="E257" s="13"/>
      <c r="F257" s="18" t="s">
        <v>586</v>
      </c>
    </row>
    <row r="258" spans="2:6">
      <c r="B258" s="12"/>
      <c r="C258" s="12"/>
      <c r="D258" s="13"/>
      <c r="E258" s="13"/>
      <c r="F258" s="18" t="s">
        <v>587</v>
      </c>
    </row>
    <row r="259" spans="2:6">
      <c r="B259" s="12"/>
      <c r="C259" s="12"/>
      <c r="D259" s="13"/>
      <c r="E259" s="13"/>
      <c r="F259" s="18" t="s">
        <v>688</v>
      </c>
    </row>
    <row r="260" spans="2:6">
      <c r="B260" s="12"/>
      <c r="C260" s="12"/>
      <c r="D260" s="13"/>
      <c r="E260" s="13"/>
      <c r="F260" s="18" t="s">
        <v>689</v>
      </c>
    </row>
    <row r="261" spans="2:6">
      <c r="B261" s="12"/>
      <c r="C261" s="12"/>
      <c r="D261" s="13"/>
      <c r="E261" s="13"/>
      <c r="F261" s="18" t="s">
        <v>592</v>
      </c>
    </row>
    <row r="262" spans="2:6">
      <c r="B262" s="12"/>
      <c r="C262" s="12"/>
      <c r="D262" s="13"/>
      <c r="E262" s="13"/>
      <c r="F262" s="18" t="s">
        <v>593</v>
      </c>
    </row>
    <row r="263" spans="2:6">
      <c r="B263" s="12"/>
      <c r="C263" s="12"/>
      <c r="D263" s="13"/>
      <c r="E263" s="13"/>
      <c r="F263" s="18" t="s">
        <v>594</v>
      </c>
    </row>
    <row r="264" spans="2:6">
      <c r="B264" s="12"/>
      <c r="C264" s="12"/>
      <c r="D264" s="13"/>
      <c r="E264" s="13"/>
      <c r="F264" s="18" t="s">
        <v>617</v>
      </c>
    </row>
    <row r="265" spans="2:6">
      <c r="B265" s="12"/>
      <c r="C265" s="12"/>
      <c r="D265" s="13"/>
      <c r="E265" s="13"/>
    </row>
    <row r="266" spans="2:6">
      <c r="B266" s="12"/>
      <c r="C266" s="12"/>
      <c r="D266" s="13"/>
      <c r="E266" s="13" t="s">
        <v>18</v>
      </c>
      <c r="F266" s="18" t="s">
        <v>596</v>
      </c>
    </row>
    <row r="267" spans="2:6">
      <c r="B267" s="12"/>
      <c r="C267" s="12"/>
      <c r="D267" s="13"/>
      <c r="E267" s="30" t="s">
        <v>579</v>
      </c>
      <c r="F267" s="18" t="s">
        <v>597</v>
      </c>
    </row>
    <row r="268" spans="2:6">
      <c r="B268" s="12"/>
      <c r="C268" s="12"/>
      <c r="D268" s="13"/>
      <c r="E268" s="13"/>
      <c r="F268" s="18" t="s">
        <v>598</v>
      </c>
    </row>
    <row r="269" spans="2:6">
      <c r="B269" s="12"/>
      <c r="C269" s="12"/>
      <c r="D269" s="13"/>
      <c r="E269" s="13"/>
      <c r="F269" s="18" t="s">
        <v>599</v>
      </c>
    </row>
    <row r="270" spans="2:6">
      <c r="B270" s="12"/>
      <c r="C270" s="12"/>
      <c r="D270" s="13"/>
      <c r="E270" s="13"/>
      <c r="F270" s="18" t="s">
        <v>600</v>
      </c>
    </row>
    <row r="271" spans="2:6">
      <c r="B271" s="12"/>
      <c r="C271" s="12"/>
      <c r="D271" s="13"/>
      <c r="E271" s="13"/>
      <c r="F271" s="18" t="s">
        <v>601</v>
      </c>
    </row>
    <row r="272" spans="2:6">
      <c r="B272" s="12"/>
      <c r="C272" s="12"/>
      <c r="D272" s="13"/>
      <c r="E272" s="13"/>
      <c r="F272" s="18" t="s">
        <v>602</v>
      </c>
    </row>
    <row r="273" spans="2:6">
      <c r="B273" s="12"/>
      <c r="C273" s="12"/>
      <c r="D273" s="13"/>
      <c r="E273" s="13"/>
      <c r="F273" s="18" t="s">
        <v>690</v>
      </c>
    </row>
    <row r="274" spans="2:6">
      <c r="B274" s="12"/>
      <c r="C274" s="12"/>
      <c r="D274" s="13"/>
      <c r="E274" s="13"/>
    </row>
    <row r="275" spans="2:6">
      <c r="B275" s="12"/>
      <c r="C275" s="12"/>
      <c r="D275" s="13" t="s">
        <v>88</v>
      </c>
      <c r="E275" s="13"/>
      <c r="F275" s="18" t="s">
        <v>604</v>
      </c>
    </row>
    <row r="276" spans="2:6">
      <c r="B276" s="12"/>
      <c r="C276" s="12"/>
      <c r="D276" s="13"/>
      <c r="E276" s="30" t="s">
        <v>579</v>
      </c>
      <c r="F276" s="18" t="s">
        <v>605</v>
      </c>
    </row>
    <row r="277" spans="2:6">
      <c r="B277" s="12"/>
      <c r="C277" s="12"/>
      <c r="D277" s="13"/>
      <c r="E277" s="13" t="s">
        <v>691</v>
      </c>
      <c r="F277" s="18" t="s">
        <v>607</v>
      </c>
    </row>
    <row r="278" spans="2:6">
      <c r="B278" s="12"/>
      <c r="C278" s="12"/>
      <c r="D278" s="13"/>
      <c r="E278" s="13"/>
      <c r="F278" s="18" t="s">
        <v>599</v>
      </c>
    </row>
    <row r="279" spans="2:6">
      <c r="B279" s="12"/>
      <c r="C279" s="12"/>
      <c r="D279" s="13"/>
      <c r="E279" s="13"/>
      <c r="F279" s="18" t="s">
        <v>608</v>
      </c>
    </row>
    <row r="280" spans="2:6">
      <c r="B280" s="12"/>
      <c r="C280" s="12"/>
      <c r="D280" s="13"/>
      <c r="E280" s="13"/>
      <c r="F280" s="18" t="s">
        <v>610</v>
      </c>
    </row>
    <row r="281" spans="2:6">
      <c r="B281" s="12"/>
      <c r="C281" s="12"/>
      <c r="D281" s="13"/>
      <c r="E281" s="13"/>
      <c r="F281" s="18" t="s">
        <v>692</v>
      </c>
    </row>
    <row r="282" spans="2:6">
      <c r="B282" s="12"/>
      <c r="C282" s="12"/>
      <c r="D282" s="13"/>
      <c r="E282" s="13"/>
      <c r="F282" s="18" t="s">
        <v>594</v>
      </c>
    </row>
    <row r="283" spans="2:6">
      <c r="B283" s="12"/>
      <c r="C283" s="12"/>
      <c r="D283" s="13"/>
      <c r="E283" s="13"/>
      <c r="F283" s="18" t="s">
        <v>617</v>
      </c>
    </row>
    <row r="284" spans="2:6">
      <c r="B284" s="12"/>
      <c r="C284" s="12"/>
      <c r="D284" s="13"/>
      <c r="E284" s="13"/>
    </row>
    <row r="285" spans="2:6">
      <c r="B285" s="12"/>
      <c r="C285" s="12"/>
      <c r="D285" s="13"/>
      <c r="E285" s="13" t="s">
        <v>18</v>
      </c>
      <c r="F285" s="18" t="s">
        <v>596</v>
      </c>
    </row>
    <row r="286" spans="2:6">
      <c r="B286" s="12"/>
      <c r="C286" s="12"/>
      <c r="D286" s="13"/>
      <c r="E286" s="30" t="s">
        <v>579</v>
      </c>
      <c r="F286" s="18" t="s">
        <v>597</v>
      </c>
    </row>
    <row r="287" spans="2:6">
      <c r="B287" s="12"/>
      <c r="C287" s="12"/>
      <c r="D287" s="13"/>
      <c r="E287" s="31" t="s">
        <v>693</v>
      </c>
      <c r="F287" s="18" t="s">
        <v>598</v>
      </c>
    </row>
    <row r="288" spans="2:6">
      <c r="B288" s="12"/>
      <c r="C288" s="12"/>
      <c r="D288" s="13"/>
      <c r="E288" s="13"/>
      <c r="F288" s="18" t="s">
        <v>599</v>
      </c>
    </row>
    <row r="289" spans="2:6">
      <c r="B289" s="12"/>
      <c r="C289" s="12"/>
      <c r="D289" s="13"/>
      <c r="E289" s="13"/>
      <c r="F289" s="18" t="s">
        <v>600</v>
      </c>
    </row>
    <row r="290" spans="2:6">
      <c r="B290" s="12"/>
      <c r="C290" s="12"/>
      <c r="D290" s="13"/>
      <c r="E290" s="13"/>
      <c r="F290" s="18" t="s">
        <v>601</v>
      </c>
    </row>
    <row r="291" spans="2:6">
      <c r="B291" s="12"/>
      <c r="C291" s="12"/>
      <c r="D291" s="13"/>
      <c r="E291" s="13"/>
      <c r="F291" s="18" t="s">
        <v>602</v>
      </c>
    </row>
    <row r="292" spans="2:6">
      <c r="B292" s="12"/>
      <c r="C292" s="12"/>
      <c r="D292" s="13"/>
      <c r="E292" s="13"/>
      <c r="F292" s="18" t="s">
        <v>694</v>
      </c>
    </row>
    <row r="293" spans="2:6">
      <c r="B293" s="12"/>
      <c r="C293" s="12"/>
      <c r="D293" s="13"/>
      <c r="E293" s="13"/>
    </row>
    <row r="294" spans="2:6">
      <c r="B294" s="12"/>
      <c r="C294" s="12" t="s">
        <v>695</v>
      </c>
      <c r="D294" s="13" t="s">
        <v>696</v>
      </c>
      <c r="E294" s="13" t="s">
        <v>637</v>
      </c>
      <c r="F294" s="18" t="s">
        <v>638</v>
      </c>
    </row>
    <row r="295" spans="2:6">
      <c r="B295" s="12"/>
      <c r="C295" s="12"/>
      <c r="D295" s="13"/>
      <c r="E295" s="13"/>
      <c r="F295" s="18" t="s">
        <v>639</v>
      </c>
    </row>
    <row r="296" spans="2:6">
      <c r="B296" s="12"/>
      <c r="C296" s="12"/>
      <c r="D296" s="13"/>
      <c r="E296" s="13"/>
      <c r="F296" s="18" t="s">
        <v>640</v>
      </c>
    </row>
    <row r="297" spans="2:6">
      <c r="B297" s="12"/>
      <c r="C297" s="12"/>
      <c r="D297" s="13"/>
      <c r="E297" s="13"/>
      <c r="F297" s="18" t="s">
        <v>641</v>
      </c>
    </row>
    <row r="298" spans="2:6">
      <c r="B298" s="12"/>
      <c r="C298" s="12"/>
      <c r="D298" s="13"/>
      <c r="E298" s="13"/>
      <c r="F298" s="18" t="s">
        <v>642</v>
      </c>
    </row>
    <row r="299" spans="2:6">
      <c r="B299" s="12"/>
      <c r="C299" s="12"/>
      <c r="D299" s="13"/>
      <c r="E299" s="13"/>
      <c r="F299" s="18" t="s">
        <v>643</v>
      </c>
    </row>
    <row r="300" spans="2:6">
      <c r="B300" s="12"/>
      <c r="C300" s="12"/>
      <c r="D300" s="13"/>
      <c r="E300" s="13"/>
      <c r="F300" s="18" t="s">
        <v>644</v>
      </c>
    </row>
    <row r="301" spans="2:6">
      <c r="B301" s="12"/>
      <c r="C301" s="12"/>
      <c r="D301" s="13"/>
      <c r="E301" s="13"/>
      <c r="F301" s="18" t="s">
        <v>645</v>
      </c>
    </row>
    <row r="302" spans="2:6">
      <c r="B302" s="12"/>
      <c r="C302" s="12"/>
      <c r="D302" s="13"/>
      <c r="E302" s="13"/>
      <c r="F302" s="18" t="s">
        <v>646</v>
      </c>
    </row>
    <row r="303" spans="2:6">
      <c r="B303" s="12"/>
      <c r="C303" s="12"/>
      <c r="D303" s="13"/>
      <c r="E303" s="13"/>
      <c r="F303" s="18" t="s">
        <v>647</v>
      </c>
    </row>
    <row r="304" spans="2:6">
      <c r="B304" s="12"/>
      <c r="C304" s="12"/>
      <c r="D304" s="13"/>
      <c r="E304" s="13"/>
      <c r="F304" s="18" t="s">
        <v>683</v>
      </c>
    </row>
    <row r="305" spans="2:6">
      <c r="B305" s="12"/>
      <c r="C305" s="12"/>
      <c r="D305" s="13"/>
      <c r="E305" s="13"/>
      <c r="F305" s="18" t="s">
        <v>649</v>
      </c>
    </row>
    <row r="306" spans="2:6">
      <c r="B306" s="12"/>
      <c r="C306" s="12"/>
      <c r="D306" s="13"/>
      <c r="E306" s="13"/>
      <c r="F306" s="18" t="s">
        <v>641</v>
      </c>
    </row>
    <row r="307" spans="2:6">
      <c r="B307" s="12"/>
      <c r="C307" s="12"/>
      <c r="D307" s="13"/>
      <c r="E307" s="13"/>
      <c r="F307" s="18" t="s">
        <v>642</v>
      </c>
    </row>
    <row r="308" spans="2:6">
      <c r="B308" s="12"/>
      <c r="C308" s="12"/>
      <c r="D308" s="13"/>
      <c r="E308" s="13"/>
      <c r="F308" s="18" t="s">
        <v>643</v>
      </c>
    </row>
    <row r="309" spans="2:6">
      <c r="B309" s="12"/>
      <c r="C309" s="12"/>
      <c r="D309" s="13"/>
      <c r="E309" s="13"/>
      <c r="F309" s="18" t="s">
        <v>644</v>
      </c>
    </row>
    <row r="310" spans="2:6">
      <c r="B310" s="12"/>
      <c r="C310" s="12"/>
      <c r="D310" s="13"/>
      <c r="E310" s="13"/>
      <c r="F310" s="18" t="s">
        <v>650</v>
      </c>
    </row>
    <row r="311" spans="2:6">
      <c r="B311" s="12"/>
      <c r="C311" s="12"/>
      <c r="D311" s="13"/>
      <c r="E311" s="13"/>
      <c r="F311" s="18" t="s">
        <v>697</v>
      </c>
    </row>
    <row r="312" spans="2:6">
      <c r="B312" s="12"/>
      <c r="C312" s="12"/>
      <c r="D312" s="13"/>
      <c r="E312" s="13"/>
      <c r="F312" s="18" t="s">
        <v>652</v>
      </c>
    </row>
    <row r="313" spans="2:6">
      <c r="B313" s="12"/>
      <c r="C313" s="12"/>
      <c r="D313" s="13"/>
      <c r="E313" s="13"/>
      <c r="F313" s="18" t="s">
        <v>698</v>
      </c>
    </row>
    <row r="314" spans="2:6">
      <c r="B314" s="12"/>
      <c r="C314" s="12"/>
      <c r="D314" s="13"/>
      <c r="E314" s="13"/>
      <c r="F314" s="18" t="s">
        <v>654</v>
      </c>
    </row>
    <row r="315" spans="2:6">
      <c r="B315" s="12"/>
      <c r="C315" s="12"/>
      <c r="D315" s="13"/>
      <c r="E315" s="13"/>
      <c r="F315" s="18" t="s">
        <v>655</v>
      </c>
    </row>
    <row r="316" spans="2:6">
      <c r="B316" s="12"/>
      <c r="C316" s="12"/>
      <c r="D316" s="13"/>
      <c r="E316" s="13"/>
      <c r="F316" s="18" t="s">
        <v>656</v>
      </c>
    </row>
    <row r="317" spans="2:6">
      <c r="B317" s="12"/>
      <c r="C317" s="12"/>
      <c r="D317" s="13"/>
      <c r="E317" s="13"/>
      <c r="F317" s="18" t="s">
        <v>657</v>
      </c>
    </row>
    <row r="318" spans="2:6">
      <c r="B318" s="12"/>
      <c r="C318" s="12"/>
      <c r="D318" s="13"/>
      <c r="E318" s="13"/>
      <c r="F318" s="18" t="s">
        <v>658</v>
      </c>
    </row>
    <row r="319" spans="2:6">
      <c r="B319" s="12"/>
      <c r="C319" s="12"/>
      <c r="D319" s="13"/>
      <c r="E319" s="13"/>
      <c r="F319" s="18" t="s">
        <v>659</v>
      </c>
    </row>
    <row r="320" spans="2:6">
      <c r="B320" s="12"/>
      <c r="C320" s="12"/>
      <c r="D320" s="13"/>
      <c r="E320" s="13"/>
      <c r="F320" s="18" t="s">
        <v>642</v>
      </c>
    </row>
    <row r="321" spans="2:6">
      <c r="B321" s="12"/>
      <c r="C321" s="12"/>
      <c r="D321" s="13"/>
      <c r="E321" s="13"/>
      <c r="F321" s="18" t="s">
        <v>660</v>
      </c>
    </row>
    <row r="322" spans="2:6">
      <c r="B322" s="12"/>
      <c r="C322" s="12"/>
      <c r="D322" s="13"/>
      <c r="E322" s="13"/>
      <c r="F322" s="18" t="s">
        <v>662</v>
      </c>
    </row>
    <row r="323" spans="2:6">
      <c r="B323" s="12"/>
      <c r="C323" s="12"/>
      <c r="D323" s="13"/>
      <c r="E323" s="13"/>
      <c r="F323" s="18" t="s">
        <v>699</v>
      </c>
    </row>
    <row r="324" spans="2:6">
      <c r="B324" s="12"/>
      <c r="C324" s="12"/>
      <c r="D324" s="13"/>
      <c r="E324" s="13"/>
      <c r="F324" s="18" t="s">
        <v>669</v>
      </c>
    </row>
    <row r="325" spans="2:6">
      <c r="B325" s="12"/>
      <c r="C325" s="12"/>
      <c r="D325" s="13"/>
      <c r="E325" s="13"/>
      <c r="F325" s="18" t="s">
        <v>670</v>
      </c>
    </row>
    <row r="326" spans="2:6">
      <c r="B326" s="12"/>
      <c r="C326" s="12"/>
      <c r="D326" s="13"/>
      <c r="E326" s="13"/>
      <c r="F326" s="18" t="s">
        <v>671</v>
      </c>
    </row>
    <row r="327" spans="2:6">
      <c r="B327" s="12"/>
      <c r="C327" s="12"/>
      <c r="D327" s="13"/>
      <c r="E327" s="13"/>
      <c r="F327" s="18" t="s">
        <v>578</v>
      </c>
    </row>
    <row r="328" spans="2:6">
      <c r="B328" s="12"/>
      <c r="C328" s="12"/>
      <c r="D328" s="13"/>
      <c r="E328" s="13"/>
      <c r="F328" s="18" t="s">
        <v>672</v>
      </c>
    </row>
    <row r="329" spans="2:6">
      <c r="B329" s="12"/>
      <c r="C329" s="12"/>
      <c r="D329" s="13"/>
      <c r="E329" s="13"/>
      <c r="F329" s="18" t="s">
        <v>673</v>
      </c>
    </row>
    <row r="330" spans="2:6">
      <c r="B330" s="12"/>
      <c r="C330" s="12"/>
      <c r="D330" s="13"/>
      <c r="E330" s="13"/>
      <c r="F330" s="18" t="s">
        <v>674</v>
      </c>
    </row>
    <row r="331" spans="2:6">
      <c r="B331" s="12"/>
      <c r="C331" s="12"/>
      <c r="D331" s="13"/>
      <c r="E331" s="13"/>
      <c r="F331" s="18" t="s">
        <v>675</v>
      </c>
    </row>
    <row r="332" spans="2:6">
      <c r="B332" s="12"/>
      <c r="C332" s="12"/>
      <c r="D332" s="13"/>
      <c r="E332" s="13"/>
      <c r="F332" s="18" t="s">
        <v>700</v>
      </c>
    </row>
    <row r="333" spans="2:6">
      <c r="B333" s="12"/>
      <c r="C333" s="12"/>
      <c r="D333" s="13"/>
      <c r="E333" s="13"/>
      <c r="F333" s="18" t="s">
        <v>677</v>
      </c>
    </row>
    <row r="334" spans="2:6">
      <c r="B334" s="12"/>
      <c r="C334" s="12"/>
      <c r="D334" s="13"/>
      <c r="E334" s="13"/>
      <c r="F334" s="18" t="s">
        <v>583</v>
      </c>
    </row>
    <row r="335" spans="2:6">
      <c r="B335" s="12"/>
      <c r="C335" s="12"/>
      <c r="D335" s="13"/>
      <c r="E335" s="13"/>
      <c r="F335" s="18" t="s">
        <v>678</v>
      </c>
    </row>
    <row r="336" spans="2:6">
      <c r="B336" s="12"/>
      <c r="C336" s="12"/>
      <c r="D336" s="13"/>
      <c r="E336" s="13"/>
      <c r="F336" s="18" t="s">
        <v>679</v>
      </c>
    </row>
    <row r="337" spans="2:6">
      <c r="B337" s="12"/>
      <c r="C337" s="12"/>
      <c r="D337" s="13"/>
      <c r="E337" s="13"/>
      <c r="F337" s="18" t="s">
        <v>583</v>
      </c>
    </row>
    <row r="338" spans="2:6">
      <c r="B338" s="12"/>
      <c r="C338" s="12"/>
      <c r="D338" s="13"/>
      <c r="E338" s="13"/>
      <c r="F338" s="18" t="s">
        <v>680</v>
      </c>
    </row>
    <row r="339" spans="2:6">
      <c r="B339" s="12"/>
      <c r="C339" s="12"/>
      <c r="D339" s="13"/>
      <c r="E339" s="13"/>
    </row>
    <row r="340" spans="2:6">
      <c r="B340" s="12"/>
      <c r="C340" s="12"/>
      <c r="D340" s="13" t="s">
        <v>701</v>
      </c>
      <c r="E340" s="13" t="s">
        <v>702</v>
      </c>
      <c r="F340" s="18" t="s">
        <v>638</v>
      </c>
    </row>
    <row r="341" spans="2:6">
      <c r="B341" s="12"/>
      <c r="C341" s="12"/>
      <c r="D341" s="13"/>
      <c r="E341" s="13"/>
      <c r="F341" s="18" t="s">
        <v>639</v>
      </c>
    </row>
    <row r="342" spans="2:6">
      <c r="B342" s="12"/>
      <c r="C342" s="12"/>
      <c r="D342" s="13"/>
      <c r="E342" s="13"/>
      <c r="F342" s="18" t="s">
        <v>640</v>
      </c>
    </row>
    <row r="343" spans="2:6">
      <c r="B343" s="12"/>
      <c r="C343" s="12"/>
      <c r="D343" s="13"/>
      <c r="E343" s="13"/>
      <c r="F343" s="18" t="s">
        <v>641</v>
      </c>
    </row>
    <row r="344" spans="2:6">
      <c r="B344" s="12"/>
      <c r="C344" s="12"/>
      <c r="D344" s="13"/>
      <c r="E344" s="13"/>
      <c r="F344" s="18" t="s">
        <v>642</v>
      </c>
    </row>
    <row r="345" spans="2:6">
      <c r="B345" s="12"/>
      <c r="C345" s="12"/>
      <c r="D345" s="13"/>
      <c r="E345" s="13"/>
      <c r="F345" s="18" t="s">
        <v>643</v>
      </c>
    </row>
    <row r="346" spans="2:6">
      <c r="B346" s="12"/>
      <c r="C346" s="12"/>
      <c r="D346" s="13"/>
      <c r="E346" s="13"/>
      <c r="F346" s="18" t="s">
        <v>644</v>
      </c>
    </row>
    <row r="347" spans="2:6">
      <c r="B347" s="12"/>
      <c r="C347" s="12"/>
      <c r="D347" s="13"/>
      <c r="E347" s="13"/>
      <c r="F347" s="18" t="s">
        <v>645</v>
      </c>
    </row>
    <row r="348" spans="2:6">
      <c r="B348" s="12"/>
      <c r="C348" s="12"/>
      <c r="D348" s="13"/>
      <c r="E348" s="13"/>
      <c r="F348" s="18" t="s">
        <v>646</v>
      </c>
    </row>
    <row r="349" spans="2:6">
      <c r="B349" s="12"/>
      <c r="C349" s="12"/>
      <c r="D349" s="13"/>
      <c r="E349" s="13"/>
      <c r="F349" s="18" t="s">
        <v>647</v>
      </c>
    </row>
    <row r="350" spans="2:6">
      <c r="B350" s="12"/>
      <c r="C350" s="12"/>
      <c r="D350" s="13"/>
      <c r="E350" s="13"/>
      <c r="F350" s="18" t="s">
        <v>683</v>
      </c>
    </row>
    <row r="351" spans="2:6">
      <c r="B351" s="12"/>
      <c r="C351" s="12"/>
      <c r="D351" s="13"/>
      <c r="E351" s="13"/>
      <c r="F351" s="18" t="s">
        <v>649</v>
      </c>
    </row>
    <row r="352" spans="2:6">
      <c r="B352" s="12"/>
      <c r="C352" s="12"/>
      <c r="D352" s="13"/>
      <c r="E352" s="13"/>
      <c r="F352" s="18" t="s">
        <v>641</v>
      </c>
    </row>
    <row r="353" spans="2:6">
      <c r="B353" s="12"/>
      <c r="C353" s="12"/>
      <c r="D353" s="13"/>
      <c r="E353" s="13"/>
      <c r="F353" s="18" t="s">
        <v>642</v>
      </c>
    </row>
    <row r="354" spans="2:6">
      <c r="B354" s="12"/>
      <c r="C354" s="12"/>
      <c r="D354" s="13"/>
      <c r="E354" s="13"/>
      <c r="F354" s="18" t="s">
        <v>643</v>
      </c>
    </row>
    <row r="355" spans="2:6">
      <c r="B355" s="12"/>
      <c r="C355" s="12"/>
      <c r="D355" s="13"/>
      <c r="E355" s="13"/>
      <c r="F355" s="18" t="s">
        <v>644</v>
      </c>
    </row>
    <row r="356" spans="2:6">
      <c r="B356" s="12"/>
      <c r="C356" s="12"/>
      <c r="D356" s="13"/>
      <c r="E356" s="13"/>
      <c r="F356" s="18" t="s">
        <v>650</v>
      </c>
    </row>
    <row r="357" spans="2:6">
      <c r="B357" s="12"/>
      <c r="C357" s="12"/>
      <c r="D357" s="13"/>
      <c r="E357" s="13"/>
      <c r="F357" s="18" t="s">
        <v>703</v>
      </c>
    </row>
    <row r="358" spans="2:6">
      <c r="B358" s="12"/>
      <c r="C358" s="12"/>
      <c r="D358" s="13"/>
      <c r="E358" s="13"/>
      <c r="F358" s="18" t="s">
        <v>652</v>
      </c>
    </row>
    <row r="359" spans="2:6">
      <c r="B359" s="12"/>
      <c r="C359" s="12"/>
      <c r="D359" s="13"/>
      <c r="E359" s="13"/>
      <c r="F359" s="18" t="s">
        <v>698</v>
      </c>
    </row>
    <row r="360" spans="2:6">
      <c r="B360" s="12"/>
      <c r="C360" s="12"/>
      <c r="D360" s="13"/>
      <c r="E360" s="13"/>
      <c r="F360" s="18" t="s">
        <v>654</v>
      </c>
    </row>
    <row r="361" spans="2:6">
      <c r="B361" s="12"/>
      <c r="C361" s="12"/>
      <c r="D361" s="13"/>
      <c r="E361" s="13"/>
      <c r="F361" s="18" t="s">
        <v>655</v>
      </c>
    </row>
    <row r="362" spans="2:6">
      <c r="B362" s="12"/>
      <c r="C362" s="12"/>
      <c r="D362" s="13"/>
      <c r="E362" s="13"/>
      <c r="F362" s="18" t="s">
        <v>656</v>
      </c>
    </row>
    <row r="363" spans="2:6">
      <c r="B363" s="12"/>
      <c r="C363" s="12"/>
      <c r="D363" s="13"/>
      <c r="E363" s="13"/>
      <c r="F363" s="18" t="s">
        <v>657</v>
      </c>
    </row>
    <row r="364" spans="2:6">
      <c r="B364" s="12"/>
      <c r="C364" s="12"/>
      <c r="D364" s="13"/>
      <c r="E364" s="13"/>
      <c r="F364" s="18" t="s">
        <v>658</v>
      </c>
    </row>
    <row r="365" spans="2:6">
      <c r="B365" s="12"/>
      <c r="C365" s="12"/>
      <c r="D365" s="13"/>
      <c r="E365" s="13"/>
      <c r="F365" s="18" t="s">
        <v>659</v>
      </c>
    </row>
    <row r="366" spans="2:6">
      <c r="B366" s="12"/>
      <c r="C366" s="12"/>
      <c r="D366" s="13"/>
      <c r="E366" s="13"/>
      <c r="F366" s="18" t="s">
        <v>642</v>
      </c>
    </row>
    <row r="367" spans="2:6">
      <c r="B367" s="12"/>
      <c r="C367" s="12"/>
      <c r="D367" s="13"/>
      <c r="E367" s="13"/>
      <c r="F367" s="18" t="s">
        <v>660</v>
      </c>
    </row>
    <row r="368" spans="2:6">
      <c r="B368" s="12"/>
      <c r="C368" s="12"/>
      <c r="D368" s="13"/>
      <c r="E368" s="13"/>
      <c r="F368" s="18" t="s">
        <v>662</v>
      </c>
    </row>
    <row r="369" spans="2:6">
      <c r="B369" s="12"/>
      <c r="C369" s="12"/>
      <c r="D369" s="13"/>
      <c r="E369" s="13"/>
      <c r="F369" s="18" t="s">
        <v>699</v>
      </c>
    </row>
    <row r="370" spans="2:6">
      <c r="B370" s="12"/>
      <c r="C370" s="12"/>
      <c r="D370" s="13"/>
      <c r="E370" s="13"/>
      <c r="F370" s="18" t="s">
        <v>669</v>
      </c>
    </row>
    <row r="371" spans="2:6">
      <c r="B371" s="12"/>
      <c r="C371" s="12"/>
      <c r="D371" s="13"/>
      <c r="E371" s="13"/>
      <c r="F371" s="18" t="s">
        <v>670</v>
      </c>
    </row>
    <row r="372" spans="2:6">
      <c r="B372" s="12"/>
      <c r="C372" s="12"/>
      <c r="D372" s="13"/>
      <c r="E372" s="13"/>
      <c r="F372" s="18" t="s">
        <v>671</v>
      </c>
    </row>
    <row r="373" spans="2:6">
      <c r="B373" s="12"/>
      <c r="C373" s="12"/>
      <c r="D373" s="13"/>
      <c r="E373" s="13"/>
      <c r="F373" s="18" t="s">
        <v>578</v>
      </c>
    </row>
    <row r="374" spans="2:6">
      <c r="B374" s="12"/>
      <c r="C374" s="12"/>
      <c r="D374" s="13"/>
      <c r="E374" s="13"/>
      <c r="F374" s="18" t="s">
        <v>672</v>
      </c>
    </row>
    <row r="375" spans="2:6">
      <c r="B375" s="12"/>
      <c r="C375" s="12"/>
      <c r="D375" s="13"/>
      <c r="E375" s="13"/>
      <c r="F375" s="18" t="s">
        <v>673</v>
      </c>
    </row>
    <row r="376" spans="2:6">
      <c r="B376" s="12"/>
      <c r="C376" s="12"/>
      <c r="D376" s="13"/>
      <c r="E376" s="13"/>
      <c r="F376" s="18" t="s">
        <v>674</v>
      </c>
    </row>
    <row r="377" spans="2:6">
      <c r="B377" s="12"/>
      <c r="C377" s="12"/>
      <c r="D377" s="13"/>
      <c r="E377" s="13"/>
      <c r="F377" s="18" t="s">
        <v>675</v>
      </c>
    </row>
    <row r="378" spans="2:6">
      <c r="B378" s="12"/>
      <c r="C378" s="12"/>
      <c r="D378" s="13"/>
      <c r="E378" s="13"/>
      <c r="F378" s="18" t="s">
        <v>700</v>
      </c>
    </row>
    <row r="379" spans="2:6">
      <c r="B379" s="12"/>
      <c r="C379" s="12"/>
      <c r="D379" s="13"/>
      <c r="E379" s="13"/>
      <c r="F379" s="18" t="s">
        <v>677</v>
      </c>
    </row>
    <row r="380" spans="2:6">
      <c r="B380" s="12"/>
      <c r="C380" s="12"/>
      <c r="D380" s="13"/>
      <c r="E380" s="13"/>
      <c r="F380" s="18" t="s">
        <v>583</v>
      </c>
    </row>
    <row r="381" spans="2:6">
      <c r="B381" s="12"/>
      <c r="C381" s="12"/>
      <c r="D381" s="13"/>
      <c r="E381" s="13"/>
      <c r="F381" s="18" t="s">
        <v>678</v>
      </c>
    </row>
    <row r="382" spans="2:6">
      <c r="B382" s="12"/>
      <c r="C382" s="12"/>
      <c r="D382" s="13"/>
      <c r="E382" s="13"/>
      <c r="F382" s="18" t="s">
        <v>679</v>
      </c>
    </row>
    <row r="383" spans="2:6">
      <c r="B383" s="12"/>
      <c r="C383" s="12"/>
      <c r="D383" s="13"/>
      <c r="E383" s="13"/>
      <c r="F383" s="18" t="s">
        <v>583</v>
      </c>
    </row>
    <row r="384" spans="2:6">
      <c r="B384" s="12"/>
      <c r="C384" s="12"/>
      <c r="D384" s="13"/>
      <c r="E384" s="13"/>
      <c r="F384" s="18" t="s">
        <v>680</v>
      </c>
    </row>
    <row r="385" spans="2:6">
      <c r="B385" s="12"/>
      <c r="C385" s="12"/>
      <c r="D385" s="13"/>
      <c r="E385" s="13"/>
    </row>
    <row r="386" spans="2:6">
      <c r="B386" s="12"/>
      <c r="C386" s="12"/>
      <c r="D386" s="13" t="s">
        <v>704</v>
      </c>
      <c r="E386" s="13" t="s">
        <v>705</v>
      </c>
      <c r="F386" s="18" t="s">
        <v>638</v>
      </c>
    </row>
    <row r="387" spans="2:6">
      <c r="B387" s="12"/>
      <c r="C387" s="12"/>
      <c r="D387" s="13"/>
      <c r="E387" s="13"/>
      <c r="F387" s="18" t="s">
        <v>639</v>
      </c>
    </row>
    <row r="388" spans="2:6">
      <c r="B388" s="12"/>
      <c r="C388" s="12"/>
      <c r="D388" s="13"/>
      <c r="E388" s="13"/>
      <c r="F388" s="18" t="s">
        <v>640</v>
      </c>
    </row>
    <row r="389" spans="2:6">
      <c r="B389" s="12"/>
      <c r="C389" s="12"/>
      <c r="D389" s="13"/>
      <c r="E389" s="13"/>
      <c r="F389" s="18" t="s">
        <v>641</v>
      </c>
    </row>
    <row r="390" spans="2:6">
      <c r="B390" s="12"/>
      <c r="C390" s="12"/>
      <c r="D390" s="13"/>
      <c r="E390" s="13"/>
      <c r="F390" s="18" t="s">
        <v>642</v>
      </c>
    </row>
    <row r="391" spans="2:6">
      <c r="B391" s="12"/>
      <c r="C391" s="12"/>
      <c r="D391" s="13"/>
      <c r="E391" s="13"/>
      <c r="F391" s="18" t="s">
        <v>643</v>
      </c>
    </row>
    <row r="392" spans="2:6">
      <c r="B392" s="12"/>
      <c r="C392" s="12"/>
      <c r="D392" s="13"/>
      <c r="E392" s="13"/>
      <c r="F392" s="18" t="s">
        <v>644</v>
      </c>
    </row>
    <row r="393" spans="2:6">
      <c r="B393" s="12"/>
      <c r="C393" s="12"/>
      <c r="D393" s="13"/>
      <c r="E393" s="13"/>
      <c r="F393" s="18" t="s">
        <v>645</v>
      </c>
    </row>
    <row r="394" spans="2:6">
      <c r="B394" s="12"/>
      <c r="C394" s="12"/>
      <c r="D394" s="13"/>
      <c r="E394" s="13"/>
      <c r="F394" s="18" t="s">
        <v>646</v>
      </c>
    </row>
    <row r="395" spans="2:6">
      <c r="B395" s="12"/>
      <c r="C395" s="12"/>
      <c r="D395" s="13"/>
      <c r="E395" s="13"/>
      <c r="F395" s="18" t="s">
        <v>647</v>
      </c>
    </row>
    <row r="396" spans="2:6">
      <c r="B396" s="12"/>
      <c r="C396" s="12"/>
      <c r="D396" s="13"/>
      <c r="E396" s="13"/>
      <c r="F396" s="18" t="s">
        <v>683</v>
      </c>
    </row>
    <row r="397" spans="2:6">
      <c r="B397" s="12"/>
      <c r="C397" s="12"/>
      <c r="D397" s="13"/>
      <c r="E397" s="13"/>
      <c r="F397" s="18" t="s">
        <v>649</v>
      </c>
    </row>
    <row r="398" spans="2:6">
      <c r="B398" s="12"/>
      <c r="C398" s="12"/>
      <c r="D398" s="13"/>
      <c r="E398" s="13"/>
      <c r="F398" s="18" t="s">
        <v>641</v>
      </c>
    </row>
    <row r="399" spans="2:6">
      <c r="B399" s="12"/>
      <c r="C399" s="12"/>
      <c r="D399" s="13"/>
      <c r="E399" s="13"/>
      <c r="F399" s="18" t="s">
        <v>642</v>
      </c>
    </row>
    <row r="400" spans="2:6">
      <c r="B400" s="12"/>
      <c r="C400" s="12"/>
      <c r="D400" s="13"/>
      <c r="E400" s="13"/>
      <c r="F400" s="18" t="s">
        <v>643</v>
      </c>
    </row>
    <row r="401" spans="2:6">
      <c r="B401" s="12"/>
      <c r="C401" s="12"/>
      <c r="D401" s="13"/>
      <c r="E401" s="13"/>
      <c r="F401" s="18" t="s">
        <v>644</v>
      </c>
    </row>
    <row r="402" spans="2:6">
      <c r="B402" s="12"/>
      <c r="C402" s="12"/>
      <c r="D402" s="13"/>
      <c r="E402" s="13"/>
      <c r="F402" s="18" t="s">
        <v>650</v>
      </c>
    </row>
    <row r="403" spans="2:6">
      <c r="B403" s="12"/>
      <c r="C403" s="12"/>
      <c r="D403" s="13"/>
      <c r="E403" s="13"/>
      <c r="F403" s="18" t="s">
        <v>706</v>
      </c>
    </row>
    <row r="404" spans="2:6">
      <c r="B404" s="12"/>
      <c r="C404" s="12"/>
      <c r="D404" s="13"/>
      <c r="E404" s="13"/>
      <c r="F404" s="18" t="s">
        <v>652</v>
      </c>
    </row>
    <row r="405" spans="2:6">
      <c r="B405" s="12"/>
      <c r="C405" s="12"/>
      <c r="D405" s="13"/>
      <c r="E405" s="13"/>
      <c r="F405" s="18" t="s">
        <v>698</v>
      </c>
    </row>
    <row r="406" spans="2:6">
      <c r="B406" s="12"/>
      <c r="C406" s="12"/>
      <c r="D406" s="13"/>
      <c r="E406" s="13"/>
      <c r="F406" s="18" t="s">
        <v>654</v>
      </c>
    </row>
    <row r="407" spans="2:6">
      <c r="B407" s="12"/>
      <c r="C407" s="12"/>
      <c r="D407" s="13"/>
      <c r="E407" s="13"/>
      <c r="F407" s="18" t="s">
        <v>655</v>
      </c>
    </row>
    <row r="408" spans="2:6">
      <c r="B408" s="12"/>
      <c r="C408" s="12"/>
      <c r="D408" s="13"/>
      <c r="E408" s="13"/>
      <c r="F408" s="18" t="s">
        <v>656</v>
      </c>
    </row>
    <row r="409" spans="2:6">
      <c r="B409" s="12"/>
      <c r="C409" s="12"/>
      <c r="D409" s="13"/>
      <c r="E409" s="13"/>
      <c r="F409" s="18" t="s">
        <v>657</v>
      </c>
    </row>
    <row r="410" spans="2:6">
      <c r="B410" s="12"/>
      <c r="C410" s="12"/>
      <c r="D410" s="13"/>
      <c r="E410" s="13"/>
      <c r="F410" s="18" t="s">
        <v>658</v>
      </c>
    </row>
    <row r="411" spans="2:6">
      <c r="B411" s="12"/>
      <c r="C411" s="12"/>
      <c r="D411" s="13"/>
      <c r="E411" s="13"/>
      <c r="F411" s="18" t="s">
        <v>659</v>
      </c>
    </row>
    <row r="412" spans="2:6">
      <c r="B412" s="12"/>
      <c r="C412" s="12"/>
      <c r="D412" s="13"/>
      <c r="E412" s="13"/>
      <c r="F412" s="18" t="s">
        <v>642</v>
      </c>
    </row>
    <row r="413" spans="2:6">
      <c r="B413" s="12"/>
      <c r="C413" s="12"/>
      <c r="D413" s="13"/>
      <c r="E413" s="13"/>
      <c r="F413" s="18" t="s">
        <v>660</v>
      </c>
    </row>
    <row r="414" spans="2:6">
      <c r="B414" s="12"/>
      <c r="C414" s="12"/>
      <c r="D414" s="13"/>
      <c r="E414" s="13"/>
      <c r="F414" s="18" t="s">
        <v>662</v>
      </c>
    </row>
    <row r="415" spans="2:6">
      <c r="B415" s="12"/>
      <c r="C415" s="12"/>
      <c r="D415" s="13"/>
      <c r="E415" s="13"/>
      <c r="F415" s="18" t="s">
        <v>699</v>
      </c>
    </row>
    <row r="416" spans="2:6">
      <c r="B416" s="12"/>
      <c r="C416" s="12"/>
      <c r="D416" s="13"/>
      <c r="E416" s="13"/>
      <c r="F416" s="18" t="s">
        <v>669</v>
      </c>
    </row>
    <row r="417" spans="2:6">
      <c r="B417" s="12"/>
      <c r="C417" s="12"/>
      <c r="D417" s="13"/>
      <c r="E417" s="13"/>
      <c r="F417" s="18" t="s">
        <v>670</v>
      </c>
    </row>
    <row r="418" spans="2:6">
      <c r="B418" s="12"/>
      <c r="C418" s="12"/>
      <c r="D418" s="13"/>
      <c r="E418" s="13"/>
      <c r="F418" s="18" t="s">
        <v>671</v>
      </c>
    </row>
    <row r="419" spans="2:6">
      <c r="B419" s="12"/>
      <c r="C419" s="12"/>
      <c r="D419" s="13"/>
      <c r="E419" s="13"/>
      <c r="F419" s="18" t="s">
        <v>578</v>
      </c>
    </row>
    <row r="420" spans="2:6">
      <c r="B420" s="12"/>
      <c r="C420" s="12"/>
      <c r="D420" s="13"/>
      <c r="E420" s="13"/>
      <c r="F420" s="18" t="s">
        <v>672</v>
      </c>
    </row>
    <row r="421" spans="2:6">
      <c r="B421" s="12"/>
      <c r="C421" s="12"/>
      <c r="D421" s="13"/>
      <c r="E421" s="13"/>
      <c r="F421" s="18" t="s">
        <v>673</v>
      </c>
    </row>
    <row r="422" spans="2:6">
      <c r="B422" s="12"/>
      <c r="C422" s="12"/>
      <c r="D422" s="13"/>
      <c r="E422" s="13"/>
      <c r="F422" s="18" t="s">
        <v>674</v>
      </c>
    </row>
    <row r="423" spans="2:6">
      <c r="B423" s="12"/>
      <c r="C423" s="12"/>
      <c r="D423" s="13"/>
      <c r="E423" s="13"/>
      <c r="F423" s="18" t="s">
        <v>675</v>
      </c>
    </row>
    <row r="424" spans="2:6">
      <c r="B424" s="12"/>
      <c r="C424" s="12"/>
      <c r="D424" s="13"/>
      <c r="E424" s="13"/>
      <c r="F424" s="18" t="s">
        <v>700</v>
      </c>
    </row>
    <row r="425" spans="2:6">
      <c r="B425" s="12"/>
      <c r="C425" s="12"/>
      <c r="D425" s="13"/>
      <c r="E425" s="13"/>
      <c r="F425" s="18" t="s">
        <v>677</v>
      </c>
    </row>
    <row r="426" spans="2:6">
      <c r="B426" s="12"/>
      <c r="C426" s="12"/>
      <c r="D426" s="13"/>
      <c r="E426" s="13"/>
      <c r="F426" s="18" t="s">
        <v>583</v>
      </c>
    </row>
    <row r="427" spans="2:6">
      <c r="B427" s="12"/>
      <c r="C427" s="12"/>
      <c r="D427" s="13"/>
      <c r="E427" s="13"/>
      <c r="F427" s="18" t="s">
        <v>678</v>
      </c>
    </row>
    <row r="428" spans="2:6">
      <c r="B428" s="12"/>
      <c r="C428" s="12"/>
      <c r="D428" s="13"/>
      <c r="E428" s="13"/>
      <c r="F428" s="18" t="s">
        <v>679</v>
      </c>
    </row>
    <row r="429" spans="2:6">
      <c r="B429" s="12"/>
      <c r="C429" s="12"/>
      <c r="D429" s="13"/>
      <c r="E429" s="13"/>
      <c r="F429" s="18" t="s">
        <v>583</v>
      </c>
    </row>
    <row r="430" spans="2:6">
      <c r="B430" s="12"/>
      <c r="C430" s="12"/>
      <c r="D430" s="13"/>
      <c r="E430" s="13"/>
      <c r="F430" s="18" t="s">
        <v>680</v>
      </c>
    </row>
    <row r="431" spans="2:6">
      <c r="B431" s="12"/>
      <c r="C431" s="12"/>
      <c r="D431" s="13"/>
      <c r="E431" s="13"/>
    </row>
    <row r="432" spans="2:6">
      <c r="B432" s="12"/>
      <c r="C432" s="12" t="s">
        <v>707</v>
      </c>
      <c r="D432" s="13" t="s">
        <v>119</v>
      </c>
      <c r="E432" s="13" t="s">
        <v>708</v>
      </c>
      <c r="F432" s="18" t="s">
        <v>709</v>
      </c>
    </row>
    <row r="433" spans="2:6">
      <c r="B433" s="12"/>
      <c r="C433" s="12"/>
      <c r="D433" s="13"/>
      <c r="E433" s="30" t="s">
        <v>579</v>
      </c>
      <c r="F433" s="18" t="s">
        <v>710</v>
      </c>
    </row>
    <row r="434" spans="2:6">
      <c r="B434" s="12"/>
      <c r="C434" s="12"/>
      <c r="D434" s="13"/>
      <c r="E434" s="13" t="s">
        <v>711</v>
      </c>
      <c r="F434" s="18" t="s">
        <v>655</v>
      </c>
    </row>
    <row r="435" spans="2:6">
      <c r="B435" s="12"/>
      <c r="C435" s="12"/>
      <c r="D435" s="13"/>
      <c r="E435" s="13"/>
      <c r="F435" s="18" t="s">
        <v>712</v>
      </c>
    </row>
    <row r="436" spans="2:6">
      <c r="B436" s="12"/>
      <c r="C436" s="12"/>
      <c r="D436" s="13"/>
      <c r="E436" s="13"/>
      <c r="F436" s="18" t="s">
        <v>713</v>
      </c>
    </row>
    <row r="437" spans="2:6">
      <c r="B437" s="12"/>
      <c r="C437" s="12"/>
      <c r="D437" s="13"/>
      <c r="E437" s="13"/>
      <c r="F437" s="18" t="s">
        <v>714</v>
      </c>
    </row>
    <row r="438" spans="2:6">
      <c r="B438" s="12"/>
      <c r="C438" s="12"/>
      <c r="D438" s="13"/>
      <c r="E438" s="13"/>
      <c r="F438" s="18" t="s">
        <v>584</v>
      </c>
    </row>
    <row r="439" spans="2:6">
      <c r="B439" s="12"/>
      <c r="C439" s="12"/>
      <c r="D439" s="13"/>
      <c r="E439" s="13"/>
      <c r="F439" s="18" t="s">
        <v>715</v>
      </c>
    </row>
    <row r="440" spans="2:6">
      <c r="B440" s="12"/>
      <c r="C440" s="12"/>
      <c r="D440" s="13"/>
      <c r="E440" s="13"/>
      <c r="F440" s="18" t="s">
        <v>716</v>
      </c>
    </row>
    <row r="441" spans="2:6">
      <c r="B441" s="12"/>
      <c r="C441" s="12"/>
      <c r="D441" s="13"/>
      <c r="E441" s="13"/>
      <c r="F441" s="18" t="s">
        <v>717</v>
      </c>
    </row>
    <row r="442" spans="2:6">
      <c r="B442" s="12"/>
      <c r="C442" s="12"/>
      <c r="D442" s="13"/>
      <c r="E442" s="13"/>
      <c r="F442" s="18" t="s">
        <v>718</v>
      </c>
    </row>
    <row r="443" spans="2:6">
      <c r="B443" s="12"/>
      <c r="C443" s="12"/>
      <c r="D443" s="13"/>
      <c r="E443" s="13"/>
      <c r="F443" s="18" t="s">
        <v>719</v>
      </c>
    </row>
    <row r="444" spans="2:6">
      <c r="B444" s="12"/>
      <c r="C444" s="12"/>
      <c r="D444" s="13"/>
      <c r="E444" s="13"/>
      <c r="F444" s="18" t="s">
        <v>670</v>
      </c>
    </row>
    <row r="445" spans="2:6">
      <c r="B445" s="12"/>
      <c r="C445" s="12"/>
      <c r="D445" s="13"/>
      <c r="E445" s="13"/>
      <c r="F445" s="18" t="s">
        <v>720</v>
      </c>
    </row>
    <row r="446" spans="2:6">
      <c r="B446" s="12"/>
      <c r="C446" s="12"/>
      <c r="D446" s="13"/>
      <c r="E446" s="13"/>
      <c r="F446" s="18" t="s">
        <v>721</v>
      </c>
    </row>
    <row r="447" spans="2:6">
      <c r="B447" s="12"/>
      <c r="C447" s="12"/>
      <c r="D447" s="13"/>
      <c r="E447" s="13"/>
      <c r="F447" s="18" t="s">
        <v>722</v>
      </c>
    </row>
    <row r="448" spans="2:6">
      <c r="B448" s="12"/>
      <c r="C448" s="12"/>
      <c r="D448" s="13"/>
      <c r="E448" s="13"/>
      <c r="F448" s="18" t="s">
        <v>723</v>
      </c>
    </row>
    <row r="449" spans="2:6">
      <c r="B449" s="12"/>
      <c r="C449" s="12"/>
      <c r="D449" s="13"/>
      <c r="E449" s="13"/>
      <c r="F449" s="18" t="s">
        <v>724</v>
      </c>
    </row>
    <row r="450" spans="2:6">
      <c r="B450" s="12"/>
      <c r="C450" s="12"/>
      <c r="D450" s="13"/>
      <c r="E450" s="13"/>
      <c r="F450" s="18" t="s">
        <v>725</v>
      </c>
    </row>
    <row r="451" spans="2:6">
      <c r="B451" s="12"/>
      <c r="C451" s="12"/>
      <c r="D451" s="13"/>
      <c r="E451" s="13"/>
      <c r="F451" s="18" t="s">
        <v>726</v>
      </c>
    </row>
    <row r="452" spans="2:6">
      <c r="B452" s="12"/>
      <c r="C452" s="12"/>
      <c r="D452" s="13"/>
      <c r="E452" s="13"/>
      <c r="F452" s="18" t="s">
        <v>727</v>
      </c>
    </row>
    <row r="453" spans="2:6">
      <c r="B453" s="12"/>
      <c r="C453" s="12"/>
      <c r="D453" s="13"/>
      <c r="E453" s="13"/>
      <c r="F453" s="18" t="s">
        <v>728</v>
      </c>
    </row>
    <row r="454" spans="2:6">
      <c r="B454" s="12"/>
      <c r="C454" s="12"/>
      <c r="D454" s="13"/>
      <c r="E454" s="13"/>
      <c r="F454" s="18" t="s">
        <v>729</v>
      </c>
    </row>
    <row r="455" spans="2:6">
      <c r="B455" s="12"/>
      <c r="C455" s="12"/>
      <c r="D455" s="13"/>
      <c r="E455" s="13"/>
      <c r="F455" s="18" t="s">
        <v>730</v>
      </c>
    </row>
    <row r="456" spans="2:6">
      <c r="B456" s="12"/>
      <c r="C456" s="12"/>
      <c r="D456" s="13"/>
      <c r="E456" s="13"/>
      <c r="F456" s="18" t="s">
        <v>731</v>
      </c>
    </row>
    <row r="457" spans="2:6">
      <c r="B457" s="12"/>
      <c r="C457" s="12"/>
      <c r="D457" s="13"/>
      <c r="E457" s="13"/>
      <c r="F457" s="18" t="s">
        <v>732</v>
      </c>
    </row>
    <row r="458" spans="2:6">
      <c r="B458" s="12"/>
      <c r="C458" s="12"/>
      <c r="D458" s="13"/>
      <c r="E458" s="13"/>
      <c r="F458" s="18" t="s">
        <v>733</v>
      </c>
    </row>
    <row r="459" spans="2:6">
      <c r="B459" s="12"/>
      <c r="C459" s="12"/>
      <c r="D459" s="13"/>
      <c r="E459" s="13"/>
      <c r="F459" s="18" t="s">
        <v>734</v>
      </c>
    </row>
    <row r="460" spans="2:6">
      <c r="B460" s="12"/>
      <c r="C460" s="12"/>
      <c r="D460" s="13"/>
      <c r="E460" s="13"/>
      <c r="F460" s="18" t="s">
        <v>735</v>
      </c>
    </row>
    <row r="461" spans="2:6">
      <c r="B461" s="12"/>
      <c r="C461" s="12"/>
      <c r="D461" s="13"/>
      <c r="E461" s="13"/>
      <c r="F461" s="18" t="s">
        <v>736</v>
      </c>
    </row>
    <row r="462" spans="2:6">
      <c r="B462" s="12"/>
      <c r="C462" s="12"/>
      <c r="D462" s="13"/>
      <c r="E462" s="13"/>
      <c r="F462" s="18" t="s">
        <v>737</v>
      </c>
    </row>
    <row r="463" spans="2:6">
      <c r="B463" s="12"/>
      <c r="C463" s="12"/>
      <c r="D463" s="13"/>
      <c r="E463" s="13"/>
      <c r="F463" s="18" t="s">
        <v>738</v>
      </c>
    </row>
    <row r="464" spans="2:6">
      <c r="B464" s="12"/>
      <c r="C464" s="12"/>
      <c r="D464" s="13"/>
      <c r="E464" s="13"/>
      <c r="F464" s="18" t="s">
        <v>739</v>
      </c>
    </row>
    <row r="465" spans="2:6">
      <c r="B465" s="12"/>
      <c r="C465" s="12"/>
      <c r="D465" s="13"/>
      <c r="E465" s="13"/>
      <c r="F465" s="18" t="s">
        <v>740</v>
      </c>
    </row>
    <row r="466" spans="2:6">
      <c r="B466" s="12"/>
      <c r="C466" s="12"/>
      <c r="D466" s="13"/>
      <c r="E466" s="13"/>
      <c r="F466" s="18" t="s">
        <v>741</v>
      </c>
    </row>
    <row r="467" spans="2:6">
      <c r="B467" s="12"/>
      <c r="C467" s="12"/>
      <c r="D467" s="13"/>
      <c r="E467" s="13"/>
      <c r="F467" s="18" t="s">
        <v>742</v>
      </c>
    </row>
    <row r="468" spans="2:6">
      <c r="B468" s="12"/>
      <c r="C468" s="12"/>
      <c r="D468" s="13"/>
      <c r="E468" s="13"/>
      <c r="F468" s="18" t="s">
        <v>743</v>
      </c>
    </row>
    <row r="469" spans="2:6">
      <c r="B469" s="12"/>
      <c r="C469" s="12"/>
      <c r="D469" s="13"/>
      <c r="E469" s="13"/>
      <c r="F469" s="18" t="s">
        <v>744</v>
      </c>
    </row>
    <row r="470" spans="2:6">
      <c r="B470" s="12"/>
      <c r="C470" s="12"/>
      <c r="D470" s="13"/>
      <c r="E470" s="13"/>
      <c r="F470" s="18" t="s">
        <v>745</v>
      </c>
    </row>
    <row r="471" spans="2:6">
      <c r="B471" s="12"/>
      <c r="C471" s="12"/>
      <c r="D471" s="13"/>
      <c r="E471" s="13"/>
      <c r="F471" s="18" t="s">
        <v>746</v>
      </c>
    </row>
    <row r="472" spans="2:6">
      <c r="B472" s="12"/>
      <c r="C472" s="12"/>
      <c r="D472" s="13"/>
      <c r="E472" s="13"/>
      <c r="F472" s="18" t="s">
        <v>747</v>
      </c>
    </row>
    <row r="473" spans="2:6">
      <c r="B473" s="12"/>
      <c r="C473" s="12"/>
      <c r="D473" s="13"/>
      <c r="E473" s="13"/>
      <c r="F473" s="18" t="s">
        <v>748</v>
      </c>
    </row>
    <row r="474" spans="2:6">
      <c r="B474" s="12"/>
      <c r="C474" s="12"/>
      <c r="D474" s="13"/>
      <c r="E474" s="13"/>
      <c r="F474" s="18" t="s">
        <v>749</v>
      </c>
    </row>
    <row r="475" spans="2:6">
      <c r="B475" s="12"/>
      <c r="C475" s="12"/>
      <c r="D475" s="13"/>
      <c r="E475" s="13"/>
      <c r="F475" s="18" t="s">
        <v>750</v>
      </c>
    </row>
    <row r="476" spans="2:6">
      <c r="B476" s="12"/>
      <c r="C476" s="12"/>
      <c r="D476" s="13"/>
      <c r="E476" s="13"/>
      <c r="F476" s="18" t="s">
        <v>751</v>
      </c>
    </row>
    <row r="477" spans="2:6">
      <c r="B477" s="12"/>
      <c r="C477" s="12"/>
      <c r="D477" s="13"/>
      <c r="E477" s="13"/>
      <c r="F477" s="18" t="s">
        <v>752</v>
      </c>
    </row>
    <row r="478" spans="2:6">
      <c r="B478" s="12"/>
      <c r="C478" s="12"/>
      <c r="D478" s="13"/>
      <c r="E478" s="13"/>
      <c r="F478" s="18" t="s">
        <v>753</v>
      </c>
    </row>
    <row r="479" spans="2:6">
      <c r="B479" s="12"/>
      <c r="C479" s="12"/>
      <c r="D479" s="13"/>
      <c r="E479" s="13"/>
      <c r="F479" s="18" t="s">
        <v>754</v>
      </c>
    </row>
    <row r="480" spans="2:6">
      <c r="B480" s="12"/>
      <c r="C480" s="12"/>
      <c r="D480" s="13"/>
      <c r="E480" s="13"/>
      <c r="F480" s="18" t="s">
        <v>755</v>
      </c>
    </row>
    <row r="481" spans="2:6">
      <c r="B481" s="12"/>
      <c r="C481" s="12"/>
      <c r="D481" s="13"/>
      <c r="E481" s="13"/>
      <c r="F481" s="18" t="s">
        <v>756</v>
      </c>
    </row>
    <row r="482" spans="2:6">
      <c r="B482" s="12"/>
      <c r="C482" s="12"/>
      <c r="D482" s="13"/>
      <c r="E482" s="13"/>
      <c r="F482" s="18" t="s">
        <v>757</v>
      </c>
    </row>
    <row r="483" spans="2:6">
      <c r="B483" s="12"/>
      <c r="C483" s="12"/>
      <c r="D483" s="13"/>
      <c r="E483" s="13"/>
      <c r="F483" s="18" t="s">
        <v>758</v>
      </c>
    </row>
    <row r="484" spans="2:6">
      <c r="B484" s="12"/>
      <c r="C484" s="12"/>
      <c r="D484" s="13"/>
      <c r="E484" s="13"/>
      <c r="F484" s="18" t="s">
        <v>759</v>
      </c>
    </row>
    <row r="485" spans="2:6">
      <c r="B485" s="12"/>
      <c r="C485" s="12"/>
      <c r="D485" s="13"/>
      <c r="E485" s="13"/>
      <c r="F485" s="18" t="s">
        <v>760</v>
      </c>
    </row>
    <row r="486" spans="2:6">
      <c r="B486" s="12"/>
      <c r="C486" s="12"/>
      <c r="D486" s="13"/>
      <c r="E486" s="13"/>
      <c r="F486" s="18" t="s">
        <v>761</v>
      </c>
    </row>
    <row r="487" spans="2:6">
      <c r="B487" s="12"/>
      <c r="C487" s="12"/>
      <c r="D487" s="13"/>
      <c r="E487" s="13"/>
      <c r="F487" s="18" t="s">
        <v>762</v>
      </c>
    </row>
    <row r="488" spans="2:6">
      <c r="B488" s="12"/>
      <c r="C488" s="12"/>
      <c r="D488" s="13"/>
      <c r="E488" s="13"/>
      <c r="F488" s="18" t="s">
        <v>763</v>
      </c>
    </row>
    <row r="489" spans="2:6">
      <c r="B489" s="12"/>
      <c r="C489" s="12"/>
      <c r="D489" s="13"/>
      <c r="E489" s="13"/>
      <c r="F489" s="18" t="s">
        <v>764</v>
      </c>
    </row>
    <row r="490" spans="2:6">
      <c r="B490" s="12"/>
      <c r="C490" s="12"/>
      <c r="D490" s="13"/>
      <c r="E490" s="13"/>
      <c r="F490" s="18" t="s">
        <v>642</v>
      </c>
    </row>
    <row r="491" spans="2:6">
      <c r="B491" s="12"/>
      <c r="C491" s="12"/>
      <c r="D491" s="13"/>
      <c r="E491" s="13"/>
      <c r="F491" s="18" t="s">
        <v>765</v>
      </c>
    </row>
    <row r="492" spans="2:6">
      <c r="B492" s="12"/>
      <c r="C492" s="12"/>
      <c r="D492" s="13"/>
      <c r="E492" s="13"/>
      <c r="F492" s="18" t="s">
        <v>671</v>
      </c>
    </row>
    <row r="493" spans="2:6">
      <c r="B493" s="12"/>
      <c r="C493" s="12"/>
      <c r="D493" s="13"/>
      <c r="E493" s="13"/>
      <c r="F493" s="18" t="s">
        <v>578</v>
      </c>
    </row>
    <row r="494" spans="2:6">
      <c r="B494" s="12"/>
      <c r="C494" s="12"/>
      <c r="D494" s="13"/>
      <c r="E494" s="13"/>
      <c r="F494" s="18" t="s">
        <v>672</v>
      </c>
    </row>
    <row r="495" spans="2:6">
      <c r="B495" s="12"/>
      <c r="C495" s="12"/>
      <c r="D495" s="13"/>
      <c r="E495" s="13"/>
      <c r="F495" s="18" t="s">
        <v>673</v>
      </c>
    </row>
    <row r="496" spans="2:6">
      <c r="B496" s="12"/>
      <c r="C496" s="12"/>
      <c r="D496" s="13"/>
      <c r="E496" s="13"/>
      <c r="F496" s="18" t="s">
        <v>766</v>
      </c>
    </row>
    <row r="497" spans="2:6">
      <c r="B497" s="12"/>
      <c r="C497" s="12"/>
      <c r="D497" s="13"/>
      <c r="E497" s="13"/>
      <c r="F497" s="18" t="s">
        <v>767</v>
      </c>
    </row>
    <row r="498" spans="2:6">
      <c r="B498" s="12"/>
      <c r="C498" s="12"/>
      <c r="D498" s="13"/>
      <c r="E498" s="13"/>
      <c r="F498" s="18" t="s">
        <v>768</v>
      </c>
    </row>
    <row r="499" spans="2:6">
      <c r="B499" s="12"/>
      <c r="C499" s="12"/>
      <c r="D499" s="13"/>
      <c r="E499" s="13"/>
      <c r="F499" s="18" t="s">
        <v>583</v>
      </c>
    </row>
    <row r="500" spans="2:6">
      <c r="B500" s="12"/>
      <c r="C500" s="12"/>
      <c r="D500" s="13"/>
      <c r="E500" s="13"/>
      <c r="F500" s="18" t="s">
        <v>678</v>
      </c>
    </row>
    <row r="501" spans="2:6">
      <c r="B501" s="12"/>
      <c r="C501" s="12"/>
      <c r="D501" s="13"/>
      <c r="E501" s="13"/>
      <c r="F501" s="18" t="s">
        <v>587</v>
      </c>
    </row>
    <row r="502" spans="2:6">
      <c r="B502" s="12"/>
      <c r="C502" s="12"/>
      <c r="D502" s="13"/>
      <c r="E502" s="13"/>
      <c r="F502" s="18" t="s">
        <v>769</v>
      </c>
    </row>
    <row r="503" spans="2:6">
      <c r="B503" s="12"/>
      <c r="C503" s="12"/>
      <c r="D503" s="13"/>
      <c r="E503" s="13"/>
    </row>
    <row r="504" spans="2:6">
      <c r="B504" s="12"/>
      <c r="C504" s="12"/>
      <c r="D504" s="13"/>
      <c r="E504" s="13" t="s">
        <v>18</v>
      </c>
      <c r="F504" s="18" t="s">
        <v>596</v>
      </c>
    </row>
    <row r="505" spans="2:6">
      <c r="B505" s="12"/>
      <c r="C505" s="12"/>
      <c r="D505" s="13"/>
      <c r="E505" s="30" t="s">
        <v>579</v>
      </c>
      <c r="F505" s="18" t="s">
        <v>597</v>
      </c>
    </row>
    <row r="506" spans="2:6">
      <c r="B506" s="12"/>
      <c r="C506" s="12"/>
      <c r="D506" s="13"/>
      <c r="E506" s="13"/>
      <c r="F506" s="18" t="s">
        <v>598</v>
      </c>
    </row>
    <row r="507" spans="2:6">
      <c r="B507" s="12"/>
      <c r="C507" s="12"/>
      <c r="D507" s="13"/>
      <c r="E507" s="13"/>
      <c r="F507" s="18" t="s">
        <v>599</v>
      </c>
    </row>
    <row r="508" spans="2:6">
      <c r="B508" s="12"/>
      <c r="C508" s="12"/>
      <c r="D508" s="13"/>
      <c r="E508" s="13"/>
      <c r="F508" s="18" t="s">
        <v>600</v>
      </c>
    </row>
    <row r="509" spans="2:6">
      <c r="B509" s="12"/>
      <c r="C509" s="12"/>
      <c r="D509" s="13"/>
      <c r="E509" s="13"/>
      <c r="F509" s="18" t="s">
        <v>770</v>
      </c>
    </row>
    <row r="510" spans="2:6">
      <c r="B510" s="12"/>
      <c r="C510" s="12"/>
      <c r="D510" s="13"/>
      <c r="E510" s="13"/>
      <c r="F510" s="18" t="s">
        <v>602</v>
      </c>
    </row>
    <row r="511" spans="2:6">
      <c r="B511" s="12"/>
      <c r="C511" s="12"/>
      <c r="D511" s="13"/>
      <c r="E511" s="13"/>
      <c r="F511" s="18" t="s">
        <v>771</v>
      </c>
    </row>
    <row r="512" spans="2:6">
      <c r="B512" s="12"/>
      <c r="C512" s="12"/>
      <c r="D512" s="13"/>
      <c r="E512" s="13"/>
    </row>
    <row r="513" spans="2:6" ht="16.5" customHeight="1">
      <c r="B513" s="100" t="s">
        <v>141</v>
      </c>
      <c r="C513" s="12" t="s">
        <v>142</v>
      </c>
      <c r="D513" s="13" t="s">
        <v>17</v>
      </c>
      <c r="E513" s="13"/>
      <c r="F513" s="18" t="s">
        <v>772</v>
      </c>
    </row>
    <row r="514" spans="2:6" ht="16.5" customHeight="1">
      <c r="B514" s="100"/>
      <c r="C514" s="12"/>
      <c r="D514" s="13"/>
      <c r="E514" s="13"/>
    </row>
    <row r="515" spans="2:6">
      <c r="B515" s="100"/>
      <c r="C515" s="12"/>
      <c r="D515" s="13"/>
      <c r="E515" s="13" t="s">
        <v>18</v>
      </c>
      <c r="F515" s="18" t="s">
        <v>772</v>
      </c>
    </row>
    <row r="516" spans="2:6">
      <c r="B516" s="15"/>
      <c r="C516" s="12"/>
      <c r="D516" s="13"/>
      <c r="E516" s="13"/>
    </row>
    <row r="517" spans="2:6">
      <c r="B517" s="12"/>
      <c r="C517" s="12"/>
      <c r="D517" s="13" t="s">
        <v>32</v>
      </c>
      <c r="E517" s="13"/>
      <c r="F517" s="18" t="s">
        <v>772</v>
      </c>
    </row>
    <row r="518" spans="2:6">
      <c r="B518" s="12"/>
      <c r="C518" s="12"/>
      <c r="D518" s="13"/>
      <c r="E518" s="13"/>
    </row>
    <row r="519" spans="2:6">
      <c r="B519" s="12"/>
      <c r="C519" s="12"/>
      <c r="D519" s="13"/>
      <c r="E519" s="13" t="s">
        <v>18</v>
      </c>
      <c r="F519" s="18" t="s">
        <v>772</v>
      </c>
    </row>
    <row r="520" spans="2:6">
      <c r="B520" s="12"/>
      <c r="C520" s="12"/>
      <c r="D520" s="13"/>
      <c r="E520" s="13"/>
    </row>
    <row r="521" spans="2:6">
      <c r="B521" s="12"/>
      <c r="C521" s="12"/>
      <c r="D521" s="13" t="s">
        <v>147</v>
      </c>
      <c r="E521" s="13"/>
      <c r="F521" s="18" t="s">
        <v>773</v>
      </c>
    </row>
    <row r="522" spans="2:6">
      <c r="B522" s="12"/>
      <c r="C522" s="12"/>
      <c r="D522" s="13"/>
      <c r="E522" s="13"/>
    </row>
    <row r="523" spans="2:6">
      <c r="B523" s="12"/>
      <c r="C523" s="12"/>
      <c r="D523" s="13" t="s">
        <v>77</v>
      </c>
      <c r="E523" s="13"/>
      <c r="F523" s="18" t="s">
        <v>772</v>
      </c>
    </row>
    <row r="524" spans="2:6">
      <c r="B524" s="12"/>
      <c r="C524" s="12"/>
      <c r="D524" s="13"/>
      <c r="E524" s="13"/>
    </row>
    <row r="525" spans="2:6">
      <c r="B525" s="12"/>
      <c r="C525" s="12"/>
      <c r="D525" s="13"/>
      <c r="E525" s="13" t="s">
        <v>18</v>
      </c>
      <c r="F525" s="18" t="s">
        <v>772</v>
      </c>
    </row>
    <row r="526" spans="2:6">
      <c r="B526" s="12"/>
      <c r="C526" s="12"/>
      <c r="D526" s="13"/>
      <c r="E526" s="13"/>
    </row>
    <row r="527" spans="2:6">
      <c r="B527" s="12"/>
      <c r="C527" s="12"/>
      <c r="D527" s="13" t="s">
        <v>88</v>
      </c>
      <c r="E527" s="13"/>
      <c r="F527" s="18" t="s">
        <v>772</v>
      </c>
    </row>
    <row r="528" spans="2:6">
      <c r="B528" s="12"/>
      <c r="C528" s="12"/>
      <c r="D528" s="13"/>
      <c r="E528" s="13"/>
    </row>
    <row r="529" spans="2:6">
      <c r="B529" s="12"/>
      <c r="C529" s="12"/>
      <c r="D529" s="13"/>
      <c r="E529" s="13" t="s">
        <v>18</v>
      </c>
      <c r="F529" s="18" t="s">
        <v>772</v>
      </c>
    </row>
    <row r="530" spans="2:6">
      <c r="B530" s="12"/>
      <c r="C530" s="12"/>
      <c r="D530" s="13"/>
      <c r="E530" s="13"/>
    </row>
    <row r="531" spans="2:6">
      <c r="B531" s="12"/>
      <c r="C531" s="12"/>
      <c r="D531" s="13" t="s">
        <v>147</v>
      </c>
      <c r="E531" s="13"/>
      <c r="F531" s="18" t="s">
        <v>774</v>
      </c>
    </row>
    <row r="532" spans="2:6">
      <c r="B532" s="12"/>
      <c r="C532" s="12"/>
      <c r="D532" s="13"/>
      <c r="E532" s="13"/>
    </row>
    <row r="533" spans="2:6">
      <c r="B533" s="12"/>
      <c r="C533" s="12" t="s">
        <v>156</v>
      </c>
      <c r="D533" s="13" t="s">
        <v>775</v>
      </c>
      <c r="E533" s="13"/>
      <c r="F533" s="18" t="s">
        <v>604</v>
      </c>
    </row>
    <row r="534" spans="2:6">
      <c r="B534" s="12"/>
      <c r="C534" s="12"/>
      <c r="D534" s="13"/>
      <c r="E534" s="30" t="s">
        <v>579</v>
      </c>
      <c r="F534" s="18" t="s">
        <v>605</v>
      </c>
    </row>
    <row r="535" spans="2:6">
      <c r="B535" s="12"/>
      <c r="C535" s="12"/>
      <c r="D535" s="13"/>
      <c r="E535" s="13"/>
      <c r="F535" s="18" t="s">
        <v>607</v>
      </c>
    </row>
    <row r="536" spans="2:6">
      <c r="B536" s="12"/>
      <c r="C536" s="12"/>
      <c r="D536" s="13"/>
      <c r="E536" s="13"/>
      <c r="F536" s="18" t="s">
        <v>599</v>
      </c>
    </row>
    <row r="537" spans="2:6">
      <c r="B537" s="12"/>
      <c r="C537" s="12"/>
      <c r="D537" s="13"/>
      <c r="E537" s="13"/>
      <c r="F537" s="18" t="s">
        <v>608</v>
      </c>
    </row>
    <row r="538" spans="2:6">
      <c r="B538" s="12"/>
      <c r="C538" s="12"/>
      <c r="D538" s="13"/>
      <c r="E538" s="13"/>
      <c r="F538" s="18" t="s">
        <v>609</v>
      </c>
    </row>
    <row r="539" spans="2:6">
      <c r="B539" s="12"/>
      <c r="C539" s="12"/>
      <c r="D539" s="13"/>
      <c r="E539" s="13"/>
      <c r="F539" s="18" t="s">
        <v>610</v>
      </c>
    </row>
    <row r="540" spans="2:6">
      <c r="B540" s="12"/>
      <c r="C540" s="12"/>
      <c r="D540" s="13"/>
      <c r="E540" s="13"/>
      <c r="F540" s="18" t="s">
        <v>611</v>
      </c>
    </row>
    <row r="541" spans="2:6">
      <c r="B541" s="12"/>
      <c r="C541" s="12"/>
      <c r="D541" s="13"/>
      <c r="E541" s="13"/>
      <c r="F541" s="18" t="s">
        <v>614</v>
      </c>
    </row>
    <row r="542" spans="2:6">
      <c r="B542" s="12"/>
      <c r="C542" s="12"/>
      <c r="D542" s="13"/>
      <c r="E542" s="13"/>
      <c r="F542" s="18" t="s">
        <v>616</v>
      </c>
    </row>
    <row r="543" spans="2:6">
      <c r="B543" s="12"/>
      <c r="C543" s="12"/>
      <c r="D543" s="13"/>
      <c r="E543" s="13"/>
      <c r="F543" s="18" t="s">
        <v>594</v>
      </c>
    </row>
    <row r="544" spans="2:6">
      <c r="B544" s="12"/>
      <c r="C544" s="12"/>
      <c r="D544" s="13"/>
      <c r="E544" s="13"/>
      <c r="F544" s="18" t="s">
        <v>617</v>
      </c>
    </row>
    <row r="545" spans="2:6">
      <c r="B545" s="12"/>
      <c r="C545" s="12"/>
      <c r="D545" s="13"/>
      <c r="E545" s="13"/>
    </row>
    <row r="546" spans="2:6">
      <c r="B546" s="12"/>
      <c r="C546" s="12"/>
      <c r="D546" s="13" t="s">
        <v>776</v>
      </c>
      <c r="E546" s="13"/>
      <c r="F546" s="18" t="s">
        <v>777</v>
      </c>
    </row>
    <row r="547" spans="2:6">
      <c r="B547" s="12"/>
      <c r="C547" s="12"/>
      <c r="D547" s="13"/>
      <c r="E547" s="13"/>
      <c r="F547" s="18" t="s">
        <v>581</v>
      </c>
    </row>
    <row r="548" spans="2:6">
      <c r="B548" s="12"/>
      <c r="C548" s="12"/>
      <c r="D548" s="13"/>
      <c r="E548" s="13"/>
      <c r="F548" s="18" t="s">
        <v>778</v>
      </c>
    </row>
    <row r="549" spans="2:6">
      <c r="B549" s="12"/>
      <c r="C549" s="12"/>
      <c r="D549" s="13"/>
      <c r="E549" s="13"/>
      <c r="F549" s="18" t="s">
        <v>583</v>
      </c>
    </row>
    <row r="550" spans="2:6">
      <c r="B550" s="12"/>
      <c r="C550" s="12"/>
      <c r="D550" s="13"/>
      <c r="E550" s="13"/>
      <c r="F550" s="18" t="s">
        <v>715</v>
      </c>
    </row>
    <row r="551" spans="2:6">
      <c r="B551" s="12"/>
      <c r="C551" s="12"/>
      <c r="D551" s="13"/>
      <c r="E551" s="13"/>
      <c r="F551" s="18" t="s">
        <v>584</v>
      </c>
    </row>
    <row r="552" spans="2:6">
      <c r="B552" s="12"/>
      <c r="C552" s="12"/>
      <c r="D552" s="13"/>
      <c r="E552" s="13"/>
      <c r="F552" s="18" t="s">
        <v>585</v>
      </c>
    </row>
    <row r="553" spans="2:6">
      <c r="B553" s="12"/>
      <c r="C553" s="12"/>
      <c r="D553" s="13"/>
      <c r="E553" s="13"/>
      <c r="F553" s="18" t="s">
        <v>586</v>
      </c>
    </row>
    <row r="554" spans="2:6">
      <c r="B554" s="12"/>
      <c r="C554" s="12"/>
      <c r="D554" s="13"/>
      <c r="E554" s="13"/>
      <c r="F554" s="18" t="s">
        <v>587</v>
      </c>
    </row>
    <row r="555" spans="2:6">
      <c r="B555" s="12"/>
      <c r="C555" s="12"/>
      <c r="D555" s="13"/>
      <c r="E555" s="13"/>
      <c r="F555" s="18" t="s">
        <v>779</v>
      </c>
    </row>
    <row r="556" spans="2:6">
      <c r="B556" s="12"/>
      <c r="C556" s="12"/>
      <c r="D556" s="13"/>
      <c r="E556" s="13"/>
      <c r="F556" s="18" t="s">
        <v>592</v>
      </c>
    </row>
    <row r="557" spans="2:6">
      <c r="B557" s="12"/>
      <c r="C557" s="12"/>
      <c r="D557" s="13"/>
      <c r="E557" s="13"/>
      <c r="F557" s="18" t="s">
        <v>780</v>
      </c>
    </row>
    <row r="558" spans="2:6">
      <c r="B558" s="12"/>
      <c r="C558" s="12"/>
      <c r="D558" s="13"/>
      <c r="E558" s="13"/>
      <c r="F558" s="18" t="s">
        <v>594</v>
      </c>
    </row>
    <row r="559" spans="2:6">
      <c r="B559" s="12"/>
      <c r="C559" s="12"/>
      <c r="D559" s="13"/>
      <c r="E559" s="13"/>
    </row>
    <row r="560" spans="2:6">
      <c r="B560" s="12"/>
      <c r="C560" s="12"/>
      <c r="D560" s="13" t="s">
        <v>781</v>
      </c>
      <c r="E560" s="13"/>
    </row>
    <row r="561" spans="2:6">
      <c r="B561" s="12"/>
      <c r="C561" s="12"/>
      <c r="D561" s="13"/>
      <c r="E561" s="30" t="s">
        <v>579</v>
      </c>
      <c r="F561" s="18" t="s">
        <v>604</v>
      </c>
    </row>
    <row r="562" spans="2:6">
      <c r="B562" s="12"/>
      <c r="C562" s="12"/>
      <c r="D562" s="13"/>
      <c r="E562" s="13"/>
      <c r="F562" s="18" t="s">
        <v>605</v>
      </c>
    </row>
    <row r="563" spans="2:6">
      <c r="B563" s="12"/>
      <c r="C563" s="12"/>
      <c r="D563" s="13"/>
      <c r="E563" s="13"/>
      <c r="F563" s="18" t="s">
        <v>607</v>
      </c>
    </row>
    <row r="564" spans="2:6">
      <c r="B564" s="12"/>
      <c r="C564" s="12"/>
      <c r="D564" s="13"/>
      <c r="E564" s="13"/>
      <c r="F564" s="18" t="s">
        <v>599</v>
      </c>
    </row>
    <row r="565" spans="2:6">
      <c r="B565" s="12"/>
      <c r="C565" s="12"/>
      <c r="D565" s="13"/>
      <c r="E565" s="13"/>
      <c r="F565" s="18" t="s">
        <v>608</v>
      </c>
    </row>
    <row r="566" spans="2:6">
      <c r="B566" s="12"/>
      <c r="C566" s="12"/>
      <c r="D566" s="13"/>
      <c r="E566" s="13"/>
      <c r="F566" s="18" t="s">
        <v>609</v>
      </c>
    </row>
    <row r="567" spans="2:6">
      <c r="B567" s="12"/>
      <c r="C567" s="12"/>
      <c r="D567" s="13"/>
      <c r="E567" s="13"/>
      <c r="F567" s="18" t="s">
        <v>610</v>
      </c>
    </row>
    <row r="568" spans="2:6">
      <c r="B568" s="12"/>
      <c r="C568" s="12"/>
      <c r="D568" s="13"/>
      <c r="E568" s="13"/>
      <c r="F568" s="18" t="s">
        <v>782</v>
      </c>
    </row>
    <row r="569" spans="2:6">
      <c r="B569" s="12"/>
      <c r="C569" s="12"/>
      <c r="D569" s="13"/>
      <c r="E569" s="13"/>
      <c r="F569" s="18" t="s">
        <v>594</v>
      </c>
    </row>
    <row r="570" spans="2:6">
      <c r="B570" s="12"/>
      <c r="C570" s="12"/>
      <c r="D570" s="13"/>
      <c r="E570" s="13"/>
      <c r="F570" s="18" t="s">
        <v>617</v>
      </c>
    </row>
    <row r="571" spans="2:6">
      <c r="B571" s="12"/>
      <c r="C571" s="12"/>
      <c r="D571" s="13"/>
      <c r="E571" s="13"/>
    </row>
    <row r="572" spans="2:6">
      <c r="B572" s="12"/>
      <c r="C572" s="12"/>
      <c r="D572" s="13" t="s">
        <v>783</v>
      </c>
      <c r="E572" s="13"/>
      <c r="F572" s="18" t="s">
        <v>777</v>
      </c>
    </row>
    <row r="573" spans="2:6">
      <c r="B573" s="12"/>
      <c r="C573" s="12"/>
      <c r="D573" s="13"/>
      <c r="E573" s="13"/>
      <c r="F573" s="18" t="s">
        <v>581</v>
      </c>
    </row>
    <row r="574" spans="2:6">
      <c r="B574" s="12"/>
      <c r="C574" s="12"/>
      <c r="D574" s="13"/>
      <c r="E574" s="13"/>
      <c r="F574" s="18" t="s">
        <v>778</v>
      </c>
    </row>
    <row r="575" spans="2:6">
      <c r="B575" s="12"/>
      <c r="C575" s="12"/>
      <c r="D575" s="13"/>
      <c r="E575" s="13"/>
      <c r="F575" s="18" t="s">
        <v>583</v>
      </c>
    </row>
    <row r="576" spans="2:6">
      <c r="B576" s="12"/>
      <c r="C576" s="12"/>
      <c r="D576" s="13"/>
      <c r="E576" s="13"/>
      <c r="F576" s="18" t="s">
        <v>715</v>
      </c>
    </row>
    <row r="577" spans="2:6">
      <c r="B577" s="12"/>
      <c r="C577" s="12"/>
      <c r="D577" s="13"/>
      <c r="E577" s="13"/>
      <c r="F577" s="18" t="s">
        <v>584</v>
      </c>
    </row>
    <row r="578" spans="2:6">
      <c r="B578" s="12"/>
      <c r="C578" s="12"/>
      <c r="D578" s="13"/>
      <c r="E578" s="13"/>
      <c r="F578" s="18" t="s">
        <v>585</v>
      </c>
    </row>
    <row r="579" spans="2:6">
      <c r="B579" s="12"/>
      <c r="C579" s="12"/>
      <c r="D579" s="13"/>
      <c r="E579" s="13"/>
      <c r="F579" s="18" t="s">
        <v>586</v>
      </c>
    </row>
    <row r="580" spans="2:6">
      <c r="B580" s="12"/>
      <c r="C580" s="12"/>
      <c r="D580" s="13"/>
      <c r="E580" s="13"/>
      <c r="F580" s="18" t="s">
        <v>587</v>
      </c>
    </row>
    <row r="581" spans="2:6">
      <c r="B581" s="12"/>
      <c r="C581" s="12"/>
      <c r="D581" s="13"/>
      <c r="E581" s="13"/>
      <c r="F581" s="18" t="s">
        <v>784</v>
      </c>
    </row>
    <row r="582" spans="2:6">
      <c r="B582" s="12"/>
      <c r="C582" s="12"/>
      <c r="D582" s="13"/>
      <c r="E582" s="13"/>
      <c r="F582" s="18" t="s">
        <v>592</v>
      </c>
    </row>
    <row r="583" spans="2:6">
      <c r="B583" s="12"/>
      <c r="C583" s="12"/>
      <c r="D583" s="13"/>
      <c r="E583" s="13"/>
      <c r="F583" s="18" t="s">
        <v>780</v>
      </c>
    </row>
    <row r="584" spans="2:6">
      <c r="B584" s="12"/>
      <c r="C584" s="12"/>
      <c r="D584" s="13"/>
      <c r="E584" s="13"/>
      <c r="F584" s="18" t="s">
        <v>594</v>
      </c>
    </row>
    <row r="585" spans="2:6">
      <c r="B585" s="12"/>
      <c r="C585" s="12"/>
      <c r="D585" s="13"/>
      <c r="E585" s="13"/>
    </row>
    <row r="586" spans="2:6">
      <c r="B586" s="12"/>
      <c r="C586" s="12"/>
      <c r="D586" s="13" t="s">
        <v>785</v>
      </c>
      <c r="E586" s="30" t="s">
        <v>579</v>
      </c>
      <c r="F586" s="18" t="s">
        <v>604</v>
      </c>
    </row>
    <row r="587" spans="2:6">
      <c r="B587" s="12"/>
      <c r="C587" s="12"/>
      <c r="D587" s="13"/>
      <c r="E587" s="13" t="s">
        <v>786</v>
      </c>
      <c r="F587" s="18" t="s">
        <v>605</v>
      </c>
    </row>
    <row r="588" spans="2:6">
      <c r="B588" s="12"/>
      <c r="C588" s="12"/>
      <c r="D588" s="13"/>
      <c r="E588" s="13"/>
      <c r="F588" s="18" t="s">
        <v>607</v>
      </c>
    </row>
    <row r="589" spans="2:6">
      <c r="B589" s="12"/>
      <c r="C589" s="12"/>
      <c r="D589" s="13"/>
      <c r="E589" s="13"/>
      <c r="F589" s="18" t="s">
        <v>599</v>
      </c>
    </row>
    <row r="590" spans="2:6">
      <c r="B590" s="12"/>
      <c r="C590" s="12"/>
      <c r="D590" s="13"/>
      <c r="E590" s="13"/>
      <c r="F590" s="18" t="s">
        <v>608</v>
      </c>
    </row>
    <row r="591" spans="2:6">
      <c r="B591" s="12"/>
      <c r="C591" s="12"/>
      <c r="D591" s="13"/>
      <c r="E591" s="13"/>
      <c r="F591" s="18" t="s">
        <v>609</v>
      </c>
    </row>
    <row r="592" spans="2:6">
      <c r="B592" s="12"/>
      <c r="C592" s="12"/>
      <c r="D592" s="13"/>
      <c r="E592" s="13"/>
      <c r="F592" s="18" t="s">
        <v>610</v>
      </c>
    </row>
    <row r="593" spans="2:6">
      <c r="B593" s="12"/>
      <c r="C593" s="12"/>
      <c r="D593" s="13"/>
      <c r="E593" s="13"/>
      <c r="F593" s="18" t="s">
        <v>787</v>
      </c>
    </row>
    <row r="594" spans="2:6">
      <c r="B594" s="12"/>
      <c r="C594" s="12"/>
      <c r="D594" s="13"/>
      <c r="E594" s="13"/>
      <c r="F594" s="18" t="s">
        <v>615</v>
      </c>
    </row>
    <row r="595" spans="2:6">
      <c r="B595" s="12"/>
      <c r="C595" s="12"/>
      <c r="D595" s="13"/>
      <c r="E595" s="13"/>
      <c r="F595" s="18" t="s">
        <v>616</v>
      </c>
    </row>
    <row r="596" spans="2:6">
      <c r="B596" s="12"/>
      <c r="C596" s="12"/>
      <c r="D596" s="13"/>
      <c r="E596" s="13"/>
      <c r="F596" s="18" t="s">
        <v>594</v>
      </c>
    </row>
    <row r="597" spans="2:6">
      <c r="B597" s="12"/>
      <c r="C597" s="12"/>
      <c r="D597" s="13"/>
      <c r="E597" s="13"/>
      <c r="F597" s="18" t="s">
        <v>617</v>
      </c>
    </row>
    <row r="598" spans="2:6">
      <c r="B598" s="12"/>
      <c r="C598" s="12"/>
      <c r="D598" s="13"/>
      <c r="E598" s="13"/>
    </row>
    <row r="599" spans="2:6">
      <c r="B599" s="12"/>
      <c r="C599" s="12"/>
      <c r="D599" s="13" t="s">
        <v>788</v>
      </c>
      <c r="E599" s="13"/>
      <c r="F599" s="18" t="s">
        <v>777</v>
      </c>
    </row>
    <row r="600" spans="2:6">
      <c r="B600" s="12"/>
      <c r="C600" s="12"/>
      <c r="D600" s="13"/>
      <c r="E600" s="13"/>
      <c r="F600" s="18" t="s">
        <v>581</v>
      </c>
    </row>
    <row r="601" spans="2:6">
      <c r="B601" s="12"/>
      <c r="C601" s="12"/>
      <c r="D601" s="13"/>
      <c r="E601" s="13"/>
      <c r="F601" s="18" t="s">
        <v>778</v>
      </c>
    </row>
    <row r="602" spans="2:6">
      <c r="B602" s="12"/>
      <c r="C602" s="12"/>
      <c r="D602" s="13"/>
      <c r="E602" s="13"/>
      <c r="F602" s="18" t="s">
        <v>583</v>
      </c>
    </row>
    <row r="603" spans="2:6">
      <c r="B603" s="12"/>
      <c r="C603" s="12"/>
      <c r="D603" s="13"/>
      <c r="E603" s="13"/>
      <c r="F603" s="18" t="s">
        <v>715</v>
      </c>
    </row>
    <row r="604" spans="2:6">
      <c r="B604" s="12"/>
      <c r="C604" s="12"/>
      <c r="D604" s="13"/>
      <c r="E604" s="13"/>
      <c r="F604" s="18" t="s">
        <v>584</v>
      </c>
    </row>
    <row r="605" spans="2:6">
      <c r="B605" s="12"/>
      <c r="C605" s="12"/>
      <c r="D605" s="13"/>
      <c r="E605" s="13"/>
      <c r="F605" s="18" t="s">
        <v>585</v>
      </c>
    </row>
    <row r="606" spans="2:6">
      <c r="B606" s="12"/>
      <c r="C606" s="12"/>
      <c r="D606" s="13"/>
      <c r="E606" s="13"/>
      <c r="F606" s="18" t="s">
        <v>586</v>
      </c>
    </row>
    <row r="607" spans="2:6">
      <c r="B607" s="12"/>
      <c r="C607" s="12"/>
      <c r="D607" s="13"/>
      <c r="E607" s="13"/>
      <c r="F607" s="18" t="s">
        <v>587</v>
      </c>
    </row>
    <row r="608" spans="2:6">
      <c r="B608" s="12"/>
      <c r="C608" s="12"/>
      <c r="D608" s="13"/>
      <c r="E608" s="13"/>
      <c r="F608" s="18" t="s">
        <v>609</v>
      </c>
    </row>
    <row r="609" spans="2:6">
      <c r="B609" s="12"/>
      <c r="C609" s="12"/>
      <c r="D609" s="13"/>
      <c r="E609" s="13"/>
      <c r="F609" s="18" t="s">
        <v>789</v>
      </c>
    </row>
    <row r="610" spans="2:6">
      <c r="B610" s="12"/>
      <c r="C610" s="12"/>
      <c r="D610" s="13"/>
      <c r="E610" s="13"/>
      <c r="F610" s="18" t="s">
        <v>592</v>
      </c>
    </row>
    <row r="611" spans="2:6">
      <c r="B611" s="12"/>
      <c r="C611" s="12"/>
      <c r="D611" s="13"/>
      <c r="E611" s="13"/>
      <c r="F611" s="18" t="s">
        <v>780</v>
      </c>
    </row>
    <row r="612" spans="2:6">
      <c r="B612" s="12"/>
      <c r="C612" s="12"/>
      <c r="D612" s="13"/>
      <c r="E612" s="13"/>
      <c r="F612" s="18" t="s">
        <v>594</v>
      </c>
    </row>
    <row r="613" spans="2:6">
      <c r="B613" s="12"/>
      <c r="C613" s="12"/>
      <c r="D613" s="13"/>
      <c r="E613" s="13"/>
    </row>
    <row r="614" spans="2:6">
      <c r="B614" s="12"/>
      <c r="C614" s="12"/>
      <c r="D614" s="13" t="s">
        <v>271</v>
      </c>
      <c r="E614" s="13"/>
      <c r="F614" s="19" t="s">
        <v>790</v>
      </c>
    </row>
    <row r="615" spans="2:6">
      <c r="B615" s="12"/>
      <c r="C615" s="12"/>
      <c r="D615" s="13"/>
      <c r="E615" s="13"/>
      <c r="F615" s="19"/>
    </row>
    <row r="616" spans="2:6">
      <c r="B616" s="12"/>
      <c r="C616" s="12"/>
      <c r="D616" s="13"/>
      <c r="E616" s="13" t="s">
        <v>18</v>
      </c>
    </row>
    <row r="617" spans="2:6">
      <c r="B617" s="12"/>
      <c r="C617" s="12"/>
      <c r="D617" s="13"/>
      <c r="E617" s="13"/>
    </row>
    <row r="618" spans="2:6">
      <c r="B618" s="12"/>
      <c r="C618" s="12"/>
      <c r="D618" s="13" t="s">
        <v>791</v>
      </c>
      <c r="E618" s="30" t="s">
        <v>579</v>
      </c>
      <c r="F618" s="18" t="s">
        <v>792</v>
      </c>
    </row>
    <row r="619" spans="2:6">
      <c r="B619" s="12"/>
      <c r="C619" s="12"/>
      <c r="D619" s="13"/>
      <c r="E619" s="31" t="s">
        <v>793</v>
      </c>
      <c r="F619" s="18" t="s">
        <v>794</v>
      </c>
    </row>
    <row r="620" spans="2:6">
      <c r="B620" s="12"/>
      <c r="C620" s="12"/>
      <c r="D620" s="13"/>
      <c r="E620" s="13"/>
      <c r="F620" s="18" t="s">
        <v>795</v>
      </c>
    </row>
    <row r="621" spans="2:6">
      <c r="B621" s="12"/>
      <c r="C621" s="12"/>
      <c r="D621" s="13"/>
      <c r="E621" s="13"/>
      <c r="F621" s="18" t="s">
        <v>796</v>
      </c>
    </row>
    <row r="622" spans="2:6">
      <c r="B622" s="12"/>
      <c r="C622" s="12"/>
      <c r="D622" s="13"/>
      <c r="E622" s="13"/>
      <c r="F622" s="18" t="s">
        <v>797</v>
      </c>
    </row>
    <row r="623" spans="2:6">
      <c r="B623" s="12"/>
      <c r="C623" s="12"/>
      <c r="D623" s="13"/>
      <c r="E623" s="13"/>
      <c r="F623" s="18" t="s">
        <v>798</v>
      </c>
    </row>
    <row r="624" spans="2:6">
      <c r="B624" s="12"/>
      <c r="C624" s="12"/>
      <c r="D624" s="13"/>
      <c r="E624" s="13"/>
      <c r="F624" s="18" t="s">
        <v>799</v>
      </c>
    </row>
    <row r="625" spans="2:6">
      <c r="B625" s="12"/>
      <c r="C625" s="12"/>
      <c r="D625" s="13"/>
      <c r="E625" s="13"/>
      <c r="F625" s="18" t="s">
        <v>800</v>
      </c>
    </row>
    <row r="626" spans="2:6">
      <c r="B626" s="12"/>
      <c r="C626" s="12"/>
      <c r="D626" s="13"/>
      <c r="E626" s="13"/>
      <c r="F626" s="18" t="s">
        <v>801</v>
      </c>
    </row>
    <row r="627" spans="2:6">
      <c r="B627" s="12"/>
      <c r="C627" s="12"/>
      <c r="D627" s="13"/>
      <c r="E627" s="13"/>
      <c r="F627" s="18" t="s">
        <v>802</v>
      </c>
    </row>
    <row r="628" spans="2:6">
      <c r="B628" s="12"/>
      <c r="C628" s="12"/>
      <c r="D628" s="13"/>
      <c r="E628" s="13"/>
      <c r="F628" s="18" t="s">
        <v>803</v>
      </c>
    </row>
    <row r="629" spans="2:6">
      <c r="B629" s="12"/>
      <c r="C629" s="12"/>
      <c r="D629" s="13"/>
      <c r="E629" s="13"/>
      <c r="F629" s="18" t="s">
        <v>804</v>
      </c>
    </row>
    <row r="630" spans="2:6">
      <c r="B630" s="12"/>
      <c r="C630" s="12"/>
      <c r="D630" s="13"/>
      <c r="E630" s="13"/>
      <c r="F630" s="18" t="s">
        <v>805</v>
      </c>
    </row>
    <row r="631" spans="2:6">
      <c r="B631" s="12"/>
      <c r="C631" s="12"/>
      <c r="D631" s="13"/>
      <c r="E631" s="13"/>
      <c r="F631" s="18" t="s">
        <v>806</v>
      </c>
    </row>
    <row r="632" spans="2:6">
      <c r="B632" s="12"/>
      <c r="C632" s="12"/>
      <c r="D632" s="13"/>
      <c r="E632" s="13"/>
      <c r="F632" s="18" t="s">
        <v>795</v>
      </c>
    </row>
    <row r="633" spans="2:6">
      <c r="B633" s="12"/>
      <c r="C633" s="12"/>
      <c r="D633" s="13"/>
      <c r="E633" s="13"/>
      <c r="F633" s="18" t="s">
        <v>796</v>
      </c>
    </row>
    <row r="634" spans="2:6">
      <c r="B634" s="12"/>
      <c r="C634" s="12"/>
      <c r="D634" s="13"/>
      <c r="E634" s="13"/>
      <c r="F634" s="18" t="s">
        <v>797</v>
      </c>
    </row>
    <row r="635" spans="2:6">
      <c r="B635" s="12"/>
      <c r="C635" s="12"/>
      <c r="D635" s="13"/>
      <c r="E635" s="13"/>
      <c r="F635" s="18" t="s">
        <v>798</v>
      </c>
    </row>
    <row r="636" spans="2:6">
      <c r="B636" s="12"/>
      <c r="C636" s="12"/>
      <c r="D636" s="13"/>
      <c r="E636" s="13"/>
      <c r="F636" s="18" t="s">
        <v>799</v>
      </c>
    </row>
    <row r="637" spans="2:6">
      <c r="B637" s="12"/>
      <c r="C637" s="12"/>
      <c r="D637" s="13"/>
      <c r="E637" s="13"/>
      <c r="F637" s="18" t="s">
        <v>800</v>
      </c>
    </row>
    <row r="638" spans="2:6">
      <c r="B638" s="12"/>
      <c r="C638" s="12"/>
      <c r="D638" s="13"/>
      <c r="E638" s="13"/>
      <c r="F638" s="18" t="s">
        <v>807</v>
      </c>
    </row>
    <row r="639" spans="2:6">
      <c r="B639" s="12"/>
      <c r="C639" s="12"/>
      <c r="D639" s="13"/>
      <c r="E639" s="13"/>
      <c r="F639" s="18" t="s">
        <v>587</v>
      </c>
    </row>
    <row r="640" spans="2:6">
      <c r="B640" s="12"/>
      <c r="C640" s="12"/>
      <c r="D640" s="13"/>
      <c r="E640" s="13"/>
      <c r="F640" s="18" t="s">
        <v>808</v>
      </c>
    </row>
    <row r="641" spans="2:6">
      <c r="B641" s="12"/>
      <c r="C641" s="12"/>
      <c r="D641" s="13"/>
      <c r="E641" s="13"/>
      <c r="F641" s="18" t="s">
        <v>592</v>
      </c>
    </row>
    <row r="642" spans="2:6">
      <c r="B642" s="12"/>
      <c r="C642" s="12"/>
      <c r="D642" s="13"/>
      <c r="E642" s="13"/>
      <c r="F642" s="18" t="s">
        <v>809</v>
      </c>
    </row>
    <row r="643" spans="2:6">
      <c r="B643" s="12"/>
      <c r="C643" s="12"/>
      <c r="D643" s="13"/>
      <c r="E643" s="13"/>
    </row>
    <row r="644" spans="2:6">
      <c r="B644" s="12"/>
      <c r="C644" s="12"/>
      <c r="D644" s="13" t="s">
        <v>810</v>
      </c>
      <c r="E644" s="30" t="s">
        <v>579</v>
      </c>
      <c r="F644" s="18" t="s">
        <v>792</v>
      </c>
    </row>
    <row r="645" spans="2:6">
      <c r="B645" s="12"/>
      <c r="C645" s="12"/>
      <c r="D645" s="13"/>
      <c r="E645" s="31" t="s">
        <v>793</v>
      </c>
      <c r="F645" s="18" t="s">
        <v>794</v>
      </c>
    </row>
    <row r="646" spans="2:6">
      <c r="B646" s="12"/>
      <c r="C646" s="12"/>
      <c r="D646" s="13"/>
      <c r="E646" s="13"/>
      <c r="F646" s="18" t="s">
        <v>795</v>
      </c>
    </row>
    <row r="647" spans="2:6">
      <c r="B647" s="12"/>
      <c r="C647" s="12"/>
      <c r="D647" s="13"/>
      <c r="E647" s="13"/>
      <c r="F647" s="18" t="s">
        <v>796</v>
      </c>
    </row>
    <row r="648" spans="2:6">
      <c r="B648" s="12"/>
      <c r="C648" s="12"/>
      <c r="D648" s="13"/>
      <c r="E648" s="13"/>
      <c r="F648" s="18" t="s">
        <v>797</v>
      </c>
    </row>
    <row r="649" spans="2:6">
      <c r="B649" s="12"/>
      <c r="C649" s="12"/>
      <c r="D649" s="13"/>
      <c r="E649" s="13"/>
      <c r="F649" s="18" t="s">
        <v>798</v>
      </c>
    </row>
    <row r="650" spans="2:6">
      <c r="B650" s="12"/>
      <c r="C650" s="12"/>
      <c r="D650" s="13"/>
      <c r="E650" s="13"/>
      <c r="F650" s="18" t="s">
        <v>799</v>
      </c>
    </row>
    <row r="651" spans="2:6">
      <c r="B651" s="12"/>
      <c r="C651" s="12"/>
      <c r="D651" s="13"/>
      <c r="E651" s="13"/>
      <c r="F651" s="18" t="s">
        <v>800</v>
      </c>
    </row>
    <row r="652" spans="2:6">
      <c r="B652" s="12"/>
      <c r="C652" s="12"/>
      <c r="D652" s="13"/>
      <c r="E652" s="13"/>
      <c r="F652" s="18" t="s">
        <v>801</v>
      </c>
    </row>
    <row r="653" spans="2:6">
      <c r="B653" s="12"/>
      <c r="C653" s="12"/>
      <c r="D653" s="13"/>
      <c r="E653" s="13"/>
      <c r="F653" s="18" t="s">
        <v>802</v>
      </c>
    </row>
    <row r="654" spans="2:6">
      <c r="B654" s="12"/>
      <c r="C654" s="12"/>
      <c r="D654" s="13"/>
      <c r="E654" s="13"/>
      <c r="F654" s="18" t="s">
        <v>803</v>
      </c>
    </row>
    <row r="655" spans="2:6">
      <c r="B655" s="12"/>
      <c r="C655" s="12"/>
      <c r="D655" s="13"/>
      <c r="E655" s="13"/>
      <c r="F655" s="18" t="s">
        <v>804</v>
      </c>
    </row>
    <row r="656" spans="2:6">
      <c r="B656" s="12"/>
      <c r="C656" s="12"/>
      <c r="D656" s="13"/>
      <c r="E656" s="13"/>
      <c r="F656" s="18" t="s">
        <v>805</v>
      </c>
    </row>
    <row r="657" spans="2:6">
      <c r="B657" s="12"/>
      <c r="C657" s="12"/>
      <c r="D657" s="13"/>
      <c r="E657" s="13"/>
      <c r="F657" s="18" t="s">
        <v>806</v>
      </c>
    </row>
    <row r="658" spans="2:6">
      <c r="B658" s="12"/>
      <c r="C658" s="12"/>
      <c r="D658" s="13"/>
      <c r="E658" s="13"/>
      <c r="F658" s="18" t="s">
        <v>795</v>
      </c>
    </row>
    <row r="659" spans="2:6">
      <c r="B659" s="12"/>
      <c r="C659" s="12"/>
      <c r="D659" s="13"/>
      <c r="E659" s="13"/>
      <c r="F659" s="18" t="s">
        <v>796</v>
      </c>
    </row>
    <row r="660" spans="2:6">
      <c r="B660" s="12"/>
      <c r="C660" s="12"/>
      <c r="D660" s="13"/>
      <c r="E660" s="13"/>
      <c r="F660" s="18" t="s">
        <v>797</v>
      </c>
    </row>
    <row r="661" spans="2:6">
      <c r="B661" s="12"/>
      <c r="C661" s="12"/>
      <c r="D661" s="13"/>
      <c r="E661" s="13"/>
      <c r="F661" s="18" t="s">
        <v>798</v>
      </c>
    </row>
    <row r="662" spans="2:6">
      <c r="B662" s="12"/>
      <c r="C662" s="12"/>
      <c r="D662" s="13"/>
      <c r="E662" s="13"/>
      <c r="F662" s="18" t="s">
        <v>799</v>
      </c>
    </row>
    <row r="663" spans="2:6">
      <c r="B663" s="12"/>
      <c r="C663" s="12"/>
      <c r="D663" s="13"/>
      <c r="E663" s="13"/>
      <c r="F663" s="18" t="s">
        <v>800</v>
      </c>
    </row>
    <row r="664" spans="2:6">
      <c r="B664" s="12"/>
      <c r="C664" s="12"/>
      <c r="D664" s="13"/>
      <c r="E664" s="13"/>
      <c r="F664" s="18" t="s">
        <v>807</v>
      </c>
    </row>
    <row r="665" spans="2:6">
      <c r="B665" s="12"/>
      <c r="C665" s="12"/>
      <c r="D665" s="13"/>
      <c r="E665" s="13"/>
      <c r="F665" s="18" t="s">
        <v>587</v>
      </c>
    </row>
    <row r="666" spans="2:6">
      <c r="B666" s="12"/>
      <c r="C666" s="12"/>
      <c r="D666" s="13"/>
      <c r="E666" s="13"/>
      <c r="F666" s="18" t="s">
        <v>808</v>
      </c>
    </row>
    <row r="667" spans="2:6">
      <c r="B667" s="12"/>
      <c r="C667" s="12"/>
      <c r="D667" s="13"/>
      <c r="E667" s="13"/>
      <c r="F667" s="18" t="s">
        <v>592</v>
      </c>
    </row>
    <row r="668" spans="2:6">
      <c r="B668" s="12"/>
      <c r="C668" s="12"/>
      <c r="D668" s="13"/>
      <c r="E668" s="13"/>
      <c r="F668" s="18" t="s">
        <v>811</v>
      </c>
    </row>
    <row r="669" spans="2:6">
      <c r="B669" s="12"/>
      <c r="C669" s="12"/>
      <c r="D669" s="13"/>
      <c r="E669" s="13"/>
    </row>
    <row r="670" spans="2:6">
      <c r="B670" s="12"/>
      <c r="C670" s="12"/>
      <c r="D670" s="13" t="s">
        <v>812</v>
      </c>
      <c r="E670" s="30" t="s">
        <v>579</v>
      </c>
      <c r="F670" s="18" t="s">
        <v>792</v>
      </c>
    </row>
    <row r="671" spans="2:6">
      <c r="B671" s="12"/>
      <c r="C671" s="12"/>
      <c r="D671" s="13"/>
      <c r="E671" s="31" t="s">
        <v>793</v>
      </c>
      <c r="F671" s="18" t="s">
        <v>794</v>
      </c>
    </row>
    <row r="672" spans="2:6">
      <c r="B672" s="12"/>
      <c r="C672" s="12"/>
      <c r="D672" s="13"/>
      <c r="E672" s="13"/>
      <c r="F672" s="18" t="s">
        <v>795</v>
      </c>
    </row>
    <row r="673" spans="2:6">
      <c r="B673" s="12"/>
      <c r="C673" s="12"/>
      <c r="D673" s="13"/>
      <c r="E673" s="13"/>
      <c r="F673" s="18" t="s">
        <v>796</v>
      </c>
    </row>
    <row r="674" spans="2:6">
      <c r="B674" s="12"/>
      <c r="C674" s="12"/>
      <c r="D674" s="13"/>
      <c r="E674" s="13"/>
      <c r="F674" s="18" t="s">
        <v>797</v>
      </c>
    </row>
    <row r="675" spans="2:6">
      <c r="B675" s="12"/>
      <c r="C675" s="12"/>
      <c r="D675" s="13"/>
      <c r="E675" s="13"/>
      <c r="F675" s="18" t="s">
        <v>798</v>
      </c>
    </row>
    <row r="676" spans="2:6">
      <c r="B676" s="12"/>
      <c r="C676" s="12"/>
      <c r="D676" s="13"/>
      <c r="E676" s="13"/>
      <c r="F676" s="18" t="s">
        <v>799</v>
      </c>
    </row>
    <row r="677" spans="2:6">
      <c r="B677" s="12"/>
      <c r="C677" s="12"/>
      <c r="D677" s="13"/>
      <c r="E677" s="13"/>
      <c r="F677" s="18" t="s">
        <v>800</v>
      </c>
    </row>
    <row r="678" spans="2:6">
      <c r="B678" s="12"/>
      <c r="C678" s="12"/>
      <c r="D678" s="13"/>
      <c r="E678" s="13"/>
      <c r="F678" s="18" t="s">
        <v>801</v>
      </c>
    </row>
    <row r="679" spans="2:6">
      <c r="B679" s="12"/>
      <c r="C679" s="12"/>
      <c r="D679" s="13"/>
      <c r="E679" s="13"/>
      <c r="F679" s="18" t="s">
        <v>802</v>
      </c>
    </row>
    <row r="680" spans="2:6">
      <c r="B680" s="12"/>
      <c r="C680" s="12"/>
      <c r="D680" s="13"/>
      <c r="E680" s="13"/>
      <c r="F680" s="18" t="s">
        <v>803</v>
      </c>
    </row>
    <row r="681" spans="2:6">
      <c r="B681" s="12"/>
      <c r="C681" s="12"/>
      <c r="D681" s="13"/>
      <c r="E681" s="13"/>
      <c r="F681" s="18" t="s">
        <v>804</v>
      </c>
    </row>
    <row r="682" spans="2:6">
      <c r="B682" s="12"/>
      <c r="C682" s="12"/>
      <c r="D682" s="13"/>
      <c r="E682" s="13"/>
      <c r="F682" s="18" t="s">
        <v>805</v>
      </c>
    </row>
    <row r="683" spans="2:6">
      <c r="B683" s="12"/>
      <c r="C683" s="12"/>
      <c r="D683" s="13"/>
      <c r="E683" s="13"/>
      <c r="F683" s="18" t="s">
        <v>806</v>
      </c>
    </row>
    <row r="684" spans="2:6">
      <c r="B684" s="12"/>
      <c r="C684" s="12"/>
      <c r="D684" s="13"/>
      <c r="E684" s="13"/>
      <c r="F684" s="18" t="s">
        <v>795</v>
      </c>
    </row>
    <row r="685" spans="2:6">
      <c r="B685" s="12"/>
      <c r="C685" s="12"/>
      <c r="D685" s="13"/>
      <c r="E685" s="13"/>
      <c r="F685" s="18" t="s">
        <v>796</v>
      </c>
    </row>
    <row r="686" spans="2:6">
      <c r="B686" s="12"/>
      <c r="C686" s="12"/>
      <c r="D686" s="13"/>
      <c r="E686" s="13"/>
      <c r="F686" s="18" t="s">
        <v>797</v>
      </c>
    </row>
    <row r="687" spans="2:6">
      <c r="B687" s="12"/>
      <c r="C687" s="12"/>
      <c r="D687" s="13"/>
      <c r="E687" s="13"/>
      <c r="F687" s="18" t="s">
        <v>798</v>
      </c>
    </row>
    <row r="688" spans="2:6">
      <c r="B688" s="12"/>
      <c r="C688" s="12"/>
      <c r="D688" s="13"/>
      <c r="E688" s="13"/>
      <c r="F688" s="18" t="s">
        <v>799</v>
      </c>
    </row>
    <row r="689" spans="2:6">
      <c r="B689" s="12"/>
      <c r="C689" s="12"/>
      <c r="D689" s="13"/>
      <c r="E689" s="13"/>
      <c r="F689" s="18" t="s">
        <v>800</v>
      </c>
    </row>
    <row r="690" spans="2:6">
      <c r="B690" s="12"/>
      <c r="C690" s="12"/>
      <c r="D690" s="13"/>
      <c r="E690" s="13"/>
      <c r="F690" s="18" t="s">
        <v>807</v>
      </c>
    </row>
    <row r="691" spans="2:6">
      <c r="B691" s="12"/>
      <c r="C691" s="12"/>
      <c r="D691" s="13"/>
      <c r="E691" s="13"/>
      <c r="F691" s="18" t="s">
        <v>587</v>
      </c>
    </row>
    <row r="692" spans="2:6">
      <c r="B692" s="12"/>
      <c r="C692" s="12"/>
      <c r="D692" s="13"/>
      <c r="E692" s="13"/>
      <c r="F692" s="18" t="s">
        <v>808</v>
      </c>
    </row>
    <row r="693" spans="2:6">
      <c r="B693" s="12"/>
      <c r="C693" s="12"/>
      <c r="D693" s="13"/>
      <c r="E693" s="13"/>
      <c r="F693" s="18" t="s">
        <v>592</v>
      </c>
    </row>
    <row r="694" spans="2:6">
      <c r="B694" s="12"/>
      <c r="C694" s="12"/>
      <c r="D694" s="13"/>
      <c r="E694" s="13"/>
      <c r="F694" s="18" t="s">
        <v>813</v>
      </c>
    </row>
    <row r="695" spans="2:6">
      <c r="B695" s="12"/>
      <c r="C695" s="12"/>
      <c r="D695" s="13"/>
      <c r="E695" s="13"/>
    </row>
    <row r="696" spans="2:6">
      <c r="B696" s="12"/>
      <c r="C696" s="12"/>
      <c r="D696" s="13" t="s">
        <v>814</v>
      </c>
      <c r="E696" s="32" t="s">
        <v>632</v>
      </c>
      <c r="F696" s="18" t="s">
        <v>815</v>
      </c>
    </row>
    <row r="697" spans="2:6">
      <c r="B697" s="12"/>
      <c r="C697" s="12"/>
      <c r="D697" s="13"/>
      <c r="E697" s="13"/>
      <c r="F697" s="18" t="s">
        <v>794</v>
      </c>
    </row>
    <row r="698" spans="2:6">
      <c r="B698" s="12"/>
      <c r="C698" s="12"/>
      <c r="D698" s="13"/>
      <c r="E698" s="13"/>
      <c r="F698" s="18" t="s">
        <v>795</v>
      </c>
    </row>
    <row r="699" spans="2:6">
      <c r="B699" s="12"/>
      <c r="C699" s="12"/>
      <c r="D699" s="13"/>
      <c r="E699" s="13"/>
      <c r="F699" s="18" t="s">
        <v>796</v>
      </c>
    </row>
    <row r="700" spans="2:6">
      <c r="B700" s="12"/>
      <c r="C700" s="12"/>
      <c r="D700" s="13"/>
      <c r="E700" s="13"/>
      <c r="F700" s="18" t="s">
        <v>797</v>
      </c>
    </row>
    <row r="701" spans="2:6">
      <c r="B701" s="12"/>
      <c r="C701" s="12"/>
      <c r="D701" s="13"/>
      <c r="E701" s="13"/>
      <c r="F701" s="18" t="s">
        <v>798</v>
      </c>
    </row>
    <row r="702" spans="2:6">
      <c r="B702" s="12"/>
      <c r="C702" s="12"/>
      <c r="D702" s="13"/>
      <c r="E702" s="13"/>
      <c r="F702" s="18" t="s">
        <v>799</v>
      </c>
    </row>
    <row r="703" spans="2:6">
      <c r="B703" s="12"/>
      <c r="C703" s="12"/>
      <c r="D703" s="13"/>
      <c r="E703" s="13"/>
      <c r="F703" s="18" t="s">
        <v>800</v>
      </c>
    </row>
    <row r="704" spans="2:6">
      <c r="B704" s="12"/>
      <c r="C704" s="12"/>
      <c r="D704" s="13"/>
      <c r="E704" s="13"/>
      <c r="F704" s="18" t="s">
        <v>816</v>
      </c>
    </row>
    <row r="705" spans="2:6">
      <c r="B705" s="12"/>
      <c r="C705" s="12"/>
      <c r="D705" s="13"/>
      <c r="E705" s="13"/>
      <c r="F705" s="18" t="s">
        <v>802</v>
      </c>
    </row>
    <row r="706" spans="2:6">
      <c r="B706" s="12"/>
      <c r="C706" s="12"/>
      <c r="D706" s="13"/>
      <c r="E706" s="13"/>
      <c r="F706" s="18" t="s">
        <v>803</v>
      </c>
    </row>
    <row r="707" spans="2:6">
      <c r="B707" s="12"/>
      <c r="C707" s="12"/>
      <c r="D707" s="13"/>
      <c r="E707" s="13"/>
      <c r="F707" s="18" t="s">
        <v>804</v>
      </c>
    </row>
    <row r="708" spans="2:6">
      <c r="B708" s="12"/>
      <c r="C708" s="12"/>
      <c r="D708" s="13"/>
      <c r="E708" s="13"/>
      <c r="F708" s="18" t="s">
        <v>805</v>
      </c>
    </row>
    <row r="709" spans="2:6">
      <c r="B709" s="12"/>
      <c r="C709" s="12"/>
      <c r="D709" s="13"/>
      <c r="E709" s="13"/>
      <c r="F709" s="18" t="s">
        <v>806</v>
      </c>
    </row>
    <row r="710" spans="2:6">
      <c r="B710" s="12"/>
      <c r="C710" s="12"/>
      <c r="D710" s="13"/>
      <c r="E710" s="13"/>
      <c r="F710" s="18" t="s">
        <v>795</v>
      </c>
    </row>
    <row r="711" spans="2:6">
      <c r="B711" s="12"/>
      <c r="C711" s="12"/>
      <c r="D711" s="13"/>
      <c r="E711" s="13"/>
      <c r="F711" s="18" t="s">
        <v>796</v>
      </c>
    </row>
    <row r="712" spans="2:6">
      <c r="B712" s="12"/>
      <c r="C712" s="12"/>
      <c r="D712" s="13"/>
      <c r="E712" s="13"/>
      <c r="F712" s="18" t="s">
        <v>797</v>
      </c>
    </row>
    <row r="713" spans="2:6">
      <c r="B713" s="12"/>
      <c r="C713" s="12"/>
      <c r="D713" s="13"/>
      <c r="E713" s="13"/>
      <c r="F713" s="18" t="s">
        <v>798</v>
      </c>
    </row>
    <row r="714" spans="2:6">
      <c r="B714" s="12"/>
      <c r="C714" s="12"/>
      <c r="D714" s="13"/>
      <c r="E714" s="13"/>
      <c r="F714" s="18" t="s">
        <v>799</v>
      </c>
    </row>
    <row r="715" spans="2:6">
      <c r="B715" s="12"/>
      <c r="C715" s="12"/>
      <c r="D715" s="13"/>
      <c r="E715" s="13"/>
      <c r="F715" s="18" t="s">
        <v>800</v>
      </c>
    </row>
    <row r="716" spans="2:6">
      <c r="B716" s="12"/>
      <c r="C716" s="12"/>
      <c r="D716" s="13"/>
      <c r="E716" s="13"/>
      <c r="F716" s="18" t="s">
        <v>807</v>
      </c>
    </row>
    <row r="717" spans="2:6">
      <c r="B717" s="12"/>
      <c r="C717" s="12"/>
      <c r="D717" s="13"/>
      <c r="E717" s="13"/>
      <c r="F717" s="18" t="s">
        <v>778</v>
      </c>
    </row>
    <row r="718" spans="2:6">
      <c r="B718" s="12"/>
      <c r="C718" s="12"/>
      <c r="D718" s="13"/>
      <c r="E718" s="13"/>
      <c r="F718" s="18" t="s">
        <v>583</v>
      </c>
    </row>
    <row r="719" spans="2:6">
      <c r="B719" s="12"/>
      <c r="C719" s="12"/>
      <c r="D719" s="13"/>
      <c r="E719" s="13"/>
      <c r="F719" s="18" t="s">
        <v>715</v>
      </c>
    </row>
    <row r="720" spans="2:6">
      <c r="B720" s="12"/>
      <c r="C720" s="12"/>
      <c r="D720" s="13"/>
      <c r="E720" s="13"/>
      <c r="F720" s="18" t="s">
        <v>584</v>
      </c>
    </row>
    <row r="721" spans="2:6">
      <c r="B721" s="12"/>
      <c r="C721" s="12"/>
      <c r="D721" s="13"/>
      <c r="E721" s="13"/>
      <c r="F721" s="18" t="s">
        <v>585</v>
      </c>
    </row>
    <row r="722" spans="2:6">
      <c r="B722" s="12"/>
      <c r="C722" s="12"/>
      <c r="D722" s="13"/>
      <c r="E722" s="13"/>
      <c r="F722" s="18" t="s">
        <v>586</v>
      </c>
    </row>
    <row r="723" spans="2:6">
      <c r="B723" s="12"/>
      <c r="C723" s="12"/>
      <c r="D723" s="13"/>
      <c r="E723" s="13"/>
      <c r="F723" s="18" t="s">
        <v>587</v>
      </c>
    </row>
    <row r="724" spans="2:6">
      <c r="B724" s="12"/>
      <c r="C724" s="12"/>
      <c r="D724" s="13"/>
      <c r="E724" s="13"/>
      <c r="F724" s="18" t="s">
        <v>817</v>
      </c>
    </row>
    <row r="725" spans="2:6">
      <c r="B725" s="12"/>
      <c r="C725" s="12"/>
      <c r="D725" s="13"/>
      <c r="E725" s="13"/>
      <c r="F725" s="18" t="s">
        <v>592</v>
      </c>
    </row>
    <row r="726" spans="2:6">
      <c r="B726" s="12"/>
      <c r="C726" s="12"/>
      <c r="D726" s="13"/>
      <c r="E726" s="13"/>
      <c r="F726" s="18" t="s">
        <v>818</v>
      </c>
    </row>
    <row r="727" spans="2:6">
      <c r="B727" s="12"/>
      <c r="C727" s="12"/>
      <c r="D727" s="13"/>
      <c r="E727" s="13"/>
    </row>
    <row r="728" spans="2:6">
      <c r="B728" s="12"/>
      <c r="C728" s="12"/>
      <c r="D728" s="13" t="s">
        <v>819</v>
      </c>
      <c r="E728" s="32" t="s">
        <v>632</v>
      </c>
      <c r="F728" s="18" t="s">
        <v>815</v>
      </c>
    </row>
    <row r="729" spans="2:6">
      <c r="B729" s="12"/>
      <c r="C729" s="12"/>
      <c r="D729" s="13"/>
      <c r="E729" s="13"/>
      <c r="F729" s="18" t="s">
        <v>820</v>
      </c>
    </row>
    <row r="730" spans="2:6">
      <c r="B730" s="12"/>
      <c r="C730" s="12"/>
      <c r="D730" s="13"/>
      <c r="E730" s="13"/>
      <c r="F730" s="18" t="s">
        <v>795</v>
      </c>
    </row>
    <row r="731" spans="2:6">
      <c r="B731" s="12"/>
      <c r="C731" s="12"/>
      <c r="D731" s="13"/>
      <c r="E731" s="13"/>
      <c r="F731" s="18" t="s">
        <v>796</v>
      </c>
    </row>
    <row r="732" spans="2:6">
      <c r="B732" s="12"/>
      <c r="C732" s="12"/>
      <c r="D732" s="13"/>
      <c r="E732" s="13"/>
      <c r="F732" s="18" t="s">
        <v>797</v>
      </c>
    </row>
    <row r="733" spans="2:6">
      <c r="B733" s="12"/>
      <c r="C733" s="12"/>
      <c r="D733" s="13"/>
      <c r="E733" s="13"/>
      <c r="F733" s="18" t="s">
        <v>798</v>
      </c>
    </row>
    <row r="734" spans="2:6">
      <c r="B734" s="12"/>
      <c r="C734" s="12"/>
      <c r="D734" s="13"/>
      <c r="E734" s="13"/>
      <c r="F734" s="18" t="s">
        <v>799</v>
      </c>
    </row>
    <row r="735" spans="2:6">
      <c r="B735" s="12"/>
      <c r="C735" s="12"/>
      <c r="D735" s="13"/>
      <c r="E735" s="13"/>
      <c r="F735" s="18" t="s">
        <v>800</v>
      </c>
    </row>
    <row r="736" spans="2:6">
      <c r="B736" s="12"/>
      <c r="C736" s="12"/>
      <c r="D736" s="13"/>
      <c r="E736" s="13"/>
      <c r="F736" s="18" t="s">
        <v>816</v>
      </c>
    </row>
    <row r="737" spans="2:6">
      <c r="B737" s="12"/>
      <c r="C737" s="12"/>
      <c r="D737" s="13"/>
      <c r="E737" s="13"/>
      <c r="F737" s="18" t="s">
        <v>802</v>
      </c>
    </row>
    <row r="738" spans="2:6">
      <c r="B738" s="12"/>
      <c r="C738" s="12"/>
      <c r="D738" s="13"/>
      <c r="E738" s="13"/>
      <c r="F738" s="18" t="s">
        <v>803</v>
      </c>
    </row>
    <row r="739" spans="2:6">
      <c r="B739" s="12"/>
      <c r="C739" s="12"/>
      <c r="D739" s="13"/>
      <c r="E739" s="13"/>
      <c r="F739" s="18" t="s">
        <v>804</v>
      </c>
    </row>
    <row r="740" spans="2:6">
      <c r="B740" s="12"/>
      <c r="C740" s="12"/>
      <c r="D740" s="13"/>
      <c r="E740" s="13"/>
      <c r="F740" s="18" t="s">
        <v>805</v>
      </c>
    </row>
    <row r="741" spans="2:6">
      <c r="B741" s="12"/>
      <c r="C741" s="12"/>
      <c r="D741" s="13"/>
      <c r="E741" s="13"/>
      <c r="F741" s="18" t="s">
        <v>806</v>
      </c>
    </row>
    <row r="742" spans="2:6">
      <c r="B742" s="12"/>
      <c r="C742" s="12"/>
      <c r="D742" s="13"/>
      <c r="E742" s="13"/>
      <c r="F742" s="18" t="s">
        <v>795</v>
      </c>
    </row>
    <row r="743" spans="2:6">
      <c r="B743" s="12"/>
      <c r="C743" s="12"/>
      <c r="D743" s="13"/>
      <c r="E743" s="13"/>
      <c r="F743" s="18" t="s">
        <v>796</v>
      </c>
    </row>
    <row r="744" spans="2:6">
      <c r="B744" s="12"/>
      <c r="C744" s="12"/>
      <c r="D744" s="13"/>
      <c r="E744" s="13"/>
      <c r="F744" s="18" t="s">
        <v>797</v>
      </c>
    </row>
    <row r="745" spans="2:6">
      <c r="B745" s="12"/>
      <c r="C745" s="12"/>
      <c r="D745" s="13"/>
      <c r="E745" s="13"/>
      <c r="F745" s="18" t="s">
        <v>798</v>
      </c>
    </row>
    <row r="746" spans="2:6">
      <c r="B746" s="12"/>
      <c r="C746" s="12"/>
      <c r="D746" s="13"/>
      <c r="E746" s="13"/>
      <c r="F746" s="18" t="s">
        <v>799</v>
      </c>
    </row>
    <row r="747" spans="2:6">
      <c r="B747" s="12"/>
      <c r="C747" s="12"/>
      <c r="D747" s="13"/>
      <c r="E747" s="13"/>
      <c r="F747" s="18" t="s">
        <v>800</v>
      </c>
    </row>
    <row r="748" spans="2:6">
      <c r="B748" s="12"/>
      <c r="C748" s="12"/>
      <c r="D748" s="13"/>
      <c r="E748" s="13"/>
      <c r="F748" s="18" t="s">
        <v>807</v>
      </c>
    </row>
    <row r="749" spans="2:6">
      <c r="B749" s="12"/>
      <c r="C749" s="12"/>
      <c r="D749" s="13"/>
      <c r="E749" s="13"/>
      <c r="F749" s="18" t="s">
        <v>778</v>
      </c>
    </row>
    <row r="750" spans="2:6">
      <c r="B750" s="12"/>
      <c r="C750" s="12"/>
      <c r="D750" s="13"/>
      <c r="E750" s="13"/>
      <c r="F750" s="18" t="s">
        <v>583</v>
      </c>
    </row>
    <row r="751" spans="2:6">
      <c r="B751" s="12"/>
      <c r="C751" s="12"/>
      <c r="D751" s="13"/>
      <c r="E751" s="13"/>
      <c r="F751" s="18" t="s">
        <v>715</v>
      </c>
    </row>
    <row r="752" spans="2:6">
      <c r="B752" s="12"/>
      <c r="C752" s="12"/>
      <c r="D752" s="13"/>
      <c r="E752" s="13"/>
      <c r="F752" s="18" t="s">
        <v>584</v>
      </c>
    </row>
    <row r="753" spans="2:6">
      <c r="B753" s="12"/>
      <c r="C753" s="12"/>
      <c r="D753" s="13"/>
      <c r="E753" s="13"/>
      <c r="F753" s="18" t="s">
        <v>585</v>
      </c>
    </row>
    <row r="754" spans="2:6">
      <c r="B754" s="12"/>
      <c r="C754" s="12"/>
      <c r="D754" s="13"/>
      <c r="E754" s="13"/>
      <c r="F754" s="18" t="s">
        <v>586</v>
      </c>
    </row>
    <row r="755" spans="2:6">
      <c r="B755" s="12"/>
      <c r="C755" s="12"/>
      <c r="D755" s="13"/>
      <c r="E755" s="13"/>
      <c r="F755" s="18" t="s">
        <v>587</v>
      </c>
    </row>
    <row r="756" spans="2:6">
      <c r="B756" s="12"/>
      <c r="C756" s="12"/>
      <c r="D756" s="13"/>
      <c r="E756" s="13"/>
      <c r="F756" s="18" t="s">
        <v>817</v>
      </c>
    </row>
    <row r="757" spans="2:6">
      <c r="B757" s="12"/>
      <c r="C757" s="12"/>
      <c r="D757" s="13"/>
      <c r="E757" s="13" t="s">
        <v>821</v>
      </c>
      <c r="F757" s="18" t="s">
        <v>592</v>
      </c>
    </row>
    <row r="758" spans="2:6">
      <c r="B758" s="12"/>
      <c r="C758" s="12"/>
      <c r="D758" s="13"/>
      <c r="E758" s="13"/>
      <c r="F758" s="18" t="s">
        <v>822</v>
      </c>
    </row>
    <row r="759" spans="2:6">
      <c r="B759" s="12"/>
      <c r="C759" s="12"/>
      <c r="D759" s="13"/>
      <c r="E759" s="13"/>
    </row>
    <row r="760" spans="2:6">
      <c r="B760" s="12"/>
      <c r="C760" s="12"/>
      <c r="D760" s="13" t="s">
        <v>823</v>
      </c>
      <c r="E760" s="32" t="s">
        <v>632</v>
      </c>
      <c r="F760" s="18" t="s">
        <v>815</v>
      </c>
    </row>
    <row r="761" spans="2:6">
      <c r="B761" s="12"/>
      <c r="C761" s="12"/>
      <c r="D761" s="13"/>
      <c r="E761" s="13"/>
      <c r="F761" s="18" t="s">
        <v>794</v>
      </c>
    </row>
    <row r="762" spans="2:6">
      <c r="B762" s="12"/>
      <c r="C762" s="12"/>
      <c r="D762" s="13"/>
      <c r="E762" s="13"/>
      <c r="F762" s="18" t="s">
        <v>795</v>
      </c>
    </row>
    <row r="763" spans="2:6">
      <c r="B763" s="12"/>
      <c r="C763" s="12"/>
      <c r="D763" s="13"/>
      <c r="E763" s="13"/>
      <c r="F763" s="18" t="s">
        <v>796</v>
      </c>
    </row>
    <row r="764" spans="2:6">
      <c r="B764" s="12"/>
      <c r="C764" s="12"/>
      <c r="D764" s="13"/>
      <c r="E764" s="13"/>
      <c r="F764" s="18" t="s">
        <v>797</v>
      </c>
    </row>
    <row r="765" spans="2:6">
      <c r="B765" s="12"/>
      <c r="C765" s="12"/>
      <c r="D765" s="13"/>
      <c r="E765" s="13"/>
      <c r="F765" s="18" t="s">
        <v>798</v>
      </c>
    </row>
    <row r="766" spans="2:6">
      <c r="B766" s="12"/>
      <c r="C766" s="12"/>
      <c r="D766" s="13"/>
      <c r="E766" s="13"/>
      <c r="F766" s="18" t="s">
        <v>799</v>
      </c>
    </row>
    <row r="767" spans="2:6">
      <c r="B767" s="12"/>
      <c r="C767" s="12"/>
      <c r="D767" s="13"/>
      <c r="E767" s="13"/>
      <c r="F767" s="18" t="s">
        <v>800</v>
      </c>
    </row>
    <row r="768" spans="2:6">
      <c r="B768" s="12"/>
      <c r="C768" s="12"/>
      <c r="D768" s="13"/>
      <c r="E768" s="13"/>
      <c r="F768" s="18" t="s">
        <v>816</v>
      </c>
    </row>
    <row r="769" spans="2:6">
      <c r="B769" s="12"/>
      <c r="C769" s="12"/>
      <c r="D769" s="13"/>
      <c r="E769" s="13"/>
      <c r="F769" s="18" t="s">
        <v>802</v>
      </c>
    </row>
    <row r="770" spans="2:6">
      <c r="B770" s="12"/>
      <c r="C770" s="12"/>
      <c r="D770" s="13"/>
      <c r="E770" s="13"/>
      <c r="F770" s="18" t="s">
        <v>803</v>
      </c>
    </row>
    <row r="771" spans="2:6">
      <c r="B771" s="12"/>
      <c r="C771" s="12"/>
      <c r="D771" s="13"/>
      <c r="E771" s="13"/>
      <c r="F771" s="18" t="s">
        <v>804</v>
      </c>
    </row>
    <row r="772" spans="2:6">
      <c r="B772" s="12"/>
      <c r="C772" s="12"/>
      <c r="D772" s="13"/>
      <c r="E772" s="13"/>
      <c r="F772" s="18" t="s">
        <v>805</v>
      </c>
    </row>
    <row r="773" spans="2:6">
      <c r="B773" s="12"/>
      <c r="C773" s="12"/>
      <c r="D773" s="13"/>
      <c r="E773" s="13"/>
      <c r="F773" s="18" t="s">
        <v>806</v>
      </c>
    </row>
    <row r="774" spans="2:6">
      <c r="B774" s="12"/>
      <c r="C774" s="12"/>
      <c r="D774" s="13"/>
      <c r="E774" s="13"/>
      <c r="F774" s="18" t="s">
        <v>795</v>
      </c>
    </row>
    <row r="775" spans="2:6">
      <c r="B775" s="12"/>
      <c r="C775" s="12"/>
      <c r="D775" s="13"/>
      <c r="E775" s="13"/>
      <c r="F775" s="18" t="s">
        <v>796</v>
      </c>
    </row>
    <row r="776" spans="2:6">
      <c r="B776" s="12"/>
      <c r="C776" s="12"/>
      <c r="D776" s="13"/>
      <c r="E776" s="13"/>
      <c r="F776" s="18" t="s">
        <v>797</v>
      </c>
    </row>
    <row r="777" spans="2:6">
      <c r="B777" s="12"/>
      <c r="C777" s="12"/>
      <c r="D777" s="13"/>
      <c r="E777" s="13"/>
      <c r="F777" s="18" t="s">
        <v>798</v>
      </c>
    </row>
    <row r="778" spans="2:6">
      <c r="B778" s="12"/>
      <c r="C778" s="12"/>
      <c r="D778" s="13"/>
      <c r="E778" s="13"/>
      <c r="F778" s="18" t="s">
        <v>799</v>
      </c>
    </row>
    <row r="779" spans="2:6">
      <c r="B779" s="12"/>
      <c r="C779" s="12"/>
      <c r="D779" s="13"/>
      <c r="E779" s="13"/>
      <c r="F779" s="18" t="s">
        <v>800</v>
      </c>
    </row>
    <row r="780" spans="2:6">
      <c r="B780" s="12"/>
      <c r="C780" s="12"/>
      <c r="D780" s="13"/>
      <c r="E780" s="13"/>
      <c r="F780" s="18" t="s">
        <v>807</v>
      </c>
    </row>
    <row r="781" spans="2:6">
      <c r="B781" s="12"/>
      <c r="C781" s="12"/>
      <c r="D781" s="13"/>
      <c r="E781" s="13"/>
      <c r="F781" s="18" t="s">
        <v>778</v>
      </c>
    </row>
    <row r="782" spans="2:6">
      <c r="B782" s="12"/>
      <c r="C782" s="12"/>
      <c r="D782" s="13"/>
      <c r="E782" s="13"/>
      <c r="F782" s="18" t="s">
        <v>583</v>
      </c>
    </row>
    <row r="783" spans="2:6">
      <c r="B783" s="12"/>
      <c r="C783" s="12"/>
      <c r="D783" s="13"/>
      <c r="E783" s="13"/>
      <c r="F783" s="18" t="s">
        <v>715</v>
      </c>
    </row>
    <row r="784" spans="2:6">
      <c r="B784" s="12"/>
      <c r="C784" s="12"/>
      <c r="D784" s="13"/>
      <c r="E784" s="13"/>
      <c r="F784" s="18" t="s">
        <v>584</v>
      </c>
    </row>
    <row r="785" spans="2:6">
      <c r="B785" s="12"/>
      <c r="C785" s="12"/>
      <c r="D785" s="13"/>
      <c r="E785" s="13"/>
      <c r="F785" s="18" t="s">
        <v>585</v>
      </c>
    </row>
    <row r="786" spans="2:6">
      <c r="B786" s="12"/>
      <c r="C786" s="12"/>
      <c r="D786" s="13"/>
      <c r="E786" s="13"/>
      <c r="F786" s="18" t="s">
        <v>586</v>
      </c>
    </row>
    <row r="787" spans="2:6">
      <c r="B787" s="12"/>
      <c r="C787" s="12"/>
      <c r="D787" s="13"/>
      <c r="E787" s="13"/>
      <c r="F787" s="18" t="s">
        <v>587</v>
      </c>
    </row>
    <row r="788" spans="2:6">
      <c r="B788" s="12"/>
      <c r="C788" s="12"/>
      <c r="D788" s="13"/>
      <c r="E788" s="13"/>
      <c r="F788" s="18" t="s">
        <v>817</v>
      </c>
    </row>
    <row r="789" spans="2:6">
      <c r="B789" s="12"/>
      <c r="C789" s="12"/>
      <c r="D789" s="13"/>
      <c r="E789" s="13"/>
      <c r="F789" s="18" t="s">
        <v>592</v>
      </c>
    </row>
    <row r="790" spans="2:6">
      <c r="B790" s="12"/>
      <c r="C790" s="12"/>
      <c r="D790" s="13"/>
      <c r="E790" s="13"/>
      <c r="F790" s="18" t="s">
        <v>824</v>
      </c>
    </row>
    <row r="791" spans="2:6">
      <c r="B791" s="12"/>
      <c r="C791" s="12"/>
      <c r="D791" s="13"/>
      <c r="E791" s="13"/>
    </row>
    <row r="792" spans="2:6">
      <c r="B792" s="12"/>
      <c r="C792" s="12"/>
      <c r="D792" s="13"/>
      <c r="E792" s="13" t="s">
        <v>26</v>
      </c>
    </row>
    <row r="793" spans="2:6">
      <c r="B793" s="12"/>
      <c r="C793" s="12"/>
      <c r="D793" s="13"/>
      <c r="E793" s="13"/>
    </row>
    <row r="794" spans="2:6">
      <c r="B794" s="12"/>
      <c r="C794" s="12"/>
      <c r="D794" s="13" t="s">
        <v>271</v>
      </c>
      <c r="E794" s="13"/>
      <c r="F794" s="20" t="s">
        <v>825</v>
      </c>
    </row>
    <row r="795" spans="2:6">
      <c r="B795" s="12"/>
      <c r="C795" s="12"/>
      <c r="D795" s="13"/>
      <c r="E795" s="13"/>
      <c r="F795" s="20"/>
    </row>
    <row r="796" spans="2:6">
      <c r="B796" s="12"/>
      <c r="C796" s="12"/>
      <c r="D796" s="13"/>
      <c r="E796" s="13" t="s">
        <v>18</v>
      </c>
    </row>
    <row r="797" spans="2:6">
      <c r="B797" s="12"/>
      <c r="C797" s="12"/>
      <c r="D797" s="13"/>
      <c r="E797" s="13"/>
    </row>
    <row r="798" spans="2:6">
      <c r="B798" s="12"/>
      <c r="C798" s="12"/>
      <c r="D798" s="13"/>
      <c r="E798" s="13" t="s">
        <v>26</v>
      </c>
    </row>
    <row r="799" spans="2:6">
      <c r="B799" s="12"/>
      <c r="C799" s="12"/>
      <c r="D799" s="13"/>
      <c r="E799" s="13"/>
    </row>
    <row r="800" spans="2:6">
      <c r="B800" s="12" t="s">
        <v>277</v>
      </c>
      <c r="C800" s="12"/>
      <c r="D800" s="13" t="s">
        <v>476</v>
      </c>
      <c r="E800" s="13" t="s">
        <v>826</v>
      </c>
    </row>
    <row r="801" spans="2:6">
      <c r="B801" s="12"/>
      <c r="C801" s="12"/>
      <c r="D801" s="13"/>
      <c r="E801" s="13"/>
    </row>
    <row r="802" spans="2:6">
      <c r="B802" s="12"/>
      <c r="C802" s="12"/>
      <c r="D802" s="13"/>
      <c r="E802" s="13" t="s">
        <v>18</v>
      </c>
    </row>
    <row r="803" spans="2:6">
      <c r="B803" s="12"/>
      <c r="C803" s="12"/>
      <c r="D803" s="13"/>
      <c r="E803" s="13"/>
    </row>
    <row r="804" spans="2:6">
      <c r="B804" s="12"/>
      <c r="C804" s="12"/>
      <c r="D804" s="13" t="s">
        <v>286</v>
      </c>
      <c r="E804" s="13" t="s">
        <v>827</v>
      </c>
      <c r="F804" s="19"/>
    </row>
    <row r="805" spans="2:6">
      <c r="B805" s="12"/>
      <c r="C805" s="12"/>
      <c r="D805" s="13"/>
      <c r="E805" s="13"/>
      <c r="F805" s="19"/>
    </row>
    <row r="806" spans="2:6">
      <c r="B806" s="12"/>
      <c r="C806" s="12"/>
      <c r="D806" s="13"/>
      <c r="E806" s="13" t="s">
        <v>18</v>
      </c>
    </row>
    <row r="807" spans="2:6">
      <c r="B807" s="12"/>
      <c r="C807" s="12"/>
      <c r="D807" s="13"/>
      <c r="E807" s="13"/>
    </row>
    <row r="808" spans="2:6">
      <c r="B808" s="12"/>
      <c r="C808" s="12"/>
      <c r="D808" s="13" t="s">
        <v>305</v>
      </c>
      <c r="E808" s="13"/>
      <c r="F808" s="18" t="s">
        <v>828</v>
      </c>
    </row>
    <row r="809" spans="2:6">
      <c r="B809" s="12"/>
      <c r="C809" s="12"/>
      <c r="D809" s="13"/>
      <c r="E809" s="13"/>
      <c r="F809" s="18" t="s">
        <v>829</v>
      </c>
    </row>
    <row r="810" spans="2:6">
      <c r="B810" s="12"/>
      <c r="C810" s="12"/>
      <c r="D810" s="13"/>
      <c r="E810" s="13"/>
      <c r="F810" s="18" t="s">
        <v>587</v>
      </c>
    </row>
    <row r="811" spans="2:6">
      <c r="B811" s="12"/>
      <c r="C811" s="12"/>
      <c r="D811" s="13"/>
      <c r="E811" s="13"/>
      <c r="F811" s="18" t="s">
        <v>830</v>
      </c>
    </row>
    <row r="812" spans="2:6">
      <c r="B812" s="12"/>
      <c r="C812" s="12"/>
      <c r="D812" s="13"/>
      <c r="E812" s="13"/>
      <c r="F812" s="18" t="s">
        <v>626</v>
      </c>
    </row>
    <row r="813" spans="2:6">
      <c r="B813" s="12"/>
      <c r="C813" s="12"/>
      <c r="D813" s="13"/>
      <c r="E813" s="13"/>
      <c r="F813" s="18" t="s">
        <v>831</v>
      </c>
    </row>
    <row r="814" spans="2:6">
      <c r="B814" s="12"/>
      <c r="C814" s="12"/>
      <c r="D814" s="13"/>
      <c r="E814" s="13"/>
      <c r="F814" s="18" t="s">
        <v>832</v>
      </c>
    </row>
    <row r="815" spans="2:6">
      <c r="B815" s="12"/>
      <c r="C815" s="12"/>
      <c r="D815" s="13"/>
      <c r="E815" s="13"/>
    </row>
    <row r="816" spans="2:6">
      <c r="B816" s="12"/>
      <c r="C816" s="12"/>
      <c r="D816" s="13" t="s">
        <v>833</v>
      </c>
      <c r="E816" s="13"/>
      <c r="F816" s="18" t="s">
        <v>834</v>
      </c>
    </row>
    <row r="817" spans="2:6">
      <c r="B817" s="12"/>
      <c r="C817" s="12"/>
      <c r="D817" s="13"/>
      <c r="E817" s="13"/>
    </row>
    <row r="818" spans="2:6">
      <c r="B818" s="12"/>
      <c r="C818" s="12"/>
      <c r="D818" s="13" t="s">
        <v>835</v>
      </c>
      <c r="E818" s="13" t="s">
        <v>836</v>
      </c>
      <c r="F818" s="18" t="s">
        <v>837</v>
      </c>
    </row>
    <row r="819" spans="2:6">
      <c r="B819" s="12"/>
      <c r="C819" s="12"/>
      <c r="D819" s="13"/>
      <c r="E819" s="13"/>
      <c r="F819" s="18" t="s">
        <v>838</v>
      </c>
    </row>
    <row r="820" spans="2:6">
      <c r="B820" s="12"/>
      <c r="C820" s="12"/>
      <c r="D820" s="13"/>
      <c r="E820" s="13"/>
      <c r="F820" s="18" t="s">
        <v>839</v>
      </c>
    </row>
    <row r="821" spans="2:6">
      <c r="B821" s="12"/>
      <c r="C821" s="12"/>
      <c r="D821" s="13"/>
      <c r="E821" s="13"/>
      <c r="F821" s="18" t="s">
        <v>840</v>
      </c>
    </row>
    <row r="822" spans="2:6">
      <c r="B822" s="12"/>
      <c r="C822" s="12"/>
      <c r="D822" s="13"/>
      <c r="E822" s="13"/>
      <c r="F822" s="18" t="s">
        <v>841</v>
      </c>
    </row>
    <row r="823" spans="2:6">
      <c r="B823" s="12"/>
      <c r="C823" s="12"/>
      <c r="D823" s="13"/>
      <c r="E823" s="13"/>
      <c r="F823" s="18" t="s">
        <v>842</v>
      </c>
    </row>
    <row r="824" spans="2:6">
      <c r="B824" s="12"/>
      <c r="C824" s="12"/>
      <c r="D824" s="13"/>
      <c r="E824" s="13"/>
      <c r="F824" s="18" t="s">
        <v>843</v>
      </c>
    </row>
    <row r="825" spans="2:6">
      <c r="B825" s="12"/>
      <c r="C825" s="12"/>
      <c r="D825" s="13"/>
      <c r="E825" s="13"/>
      <c r="F825" s="18" t="s">
        <v>844</v>
      </c>
    </row>
    <row r="826" spans="2:6">
      <c r="B826" s="12"/>
      <c r="C826" s="12"/>
      <c r="D826" s="13"/>
      <c r="E826" s="13"/>
      <c r="F826" s="18" t="s">
        <v>845</v>
      </c>
    </row>
    <row r="827" spans="2:6">
      <c r="B827" s="12"/>
      <c r="C827" s="12"/>
      <c r="D827" s="13"/>
      <c r="E827" s="13"/>
      <c r="F827" s="18" t="s">
        <v>846</v>
      </c>
    </row>
    <row r="828" spans="2:6">
      <c r="B828" s="12"/>
      <c r="C828" s="12"/>
      <c r="D828" s="13"/>
      <c r="E828" s="13"/>
      <c r="F828" s="18" t="s">
        <v>847</v>
      </c>
    </row>
    <row r="829" spans="2:6">
      <c r="B829" s="12"/>
      <c r="C829" s="12"/>
      <c r="D829" s="13"/>
      <c r="E829" s="13"/>
      <c r="F829" s="18" t="s">
        <v>848</v>
      </c>
    </row>
    <row r="830" spans="2:6">
      <c r="B830" s="12"/>
      <c r="C830" s="12"/>
      <c r="D830" s="13"/>
      <c r="E830" s="13"/>
      <c r="F830" s="18" t="s">
        <v>849</v>
      </c>
    </row>
    <row r="831" spans="2:6">
      <c r="B831" s="12"/>
      <c r="C831" s="12"/>
      <c r="D831" s="13"/>
      <c r="E831" s="13"/>
      <c r="F831" s="18" t="s">
        <v>850</v>
      </c>
    </row>
    <row r="832" spans="2:6">
      <c r="B832" s="12"/>
      <c r="C832" s="12"/>
      <c r="D832" s="13"/>
      <c r="E832" s="13"/>
      <c r="F832" s="18" t="s">
        <v>851</v>
      </c>
    </row>
    <row r="833" spans="2:6">
      <c r="B833" s="12"/>
      <c r="C833" s="12"/>
      <c r="D833" s="13"/>
      <c r="E833" s="13"/>
      <c r="F833" s="18" t="s">
        <v>852</v>
      </c>
    </row>
    <row r="834" spans="2:6">
      <c r="B834" s="12"/>
      <c r="C834" s="12"/>
      <c r="D834" s="13"/>
      <c r="E834" s="13"/>
      <c r="F834" s="18" t="s">
        <v>853</v>
      </c>
    </row>
    <row r="835" spans="2:6">
      <c r="B835" s="12"/>
      <c r="C835" s="12"/>
      <c r="D835" s="13"/>
      <c r="E835" s="13"/>
      <c r="F835" s="18" t="s">
        <v>854</v>
      </c>
    </row>
    <row r="836" spans="2:6">
      <c r="B836" s="12"/>
      <c r="C836" s="12"/>
      <c r="D836" s="13"/>
      <c r="E836" s="13"/>
      <c r="F836" s="18" t="s">
        <v>855</v>
      </c>
    </row>
    <row r="837" spans="2:6">
      <c r="B837" s="12"/>
      <c r="C837" s="12"/>
      <c r="D837" s="13"/>
      <c r="E837" s="13"/>
      <c r="F837" s="18" t="s">
        <v>856</v>
      </c>
    </row>
    <row r="838" spans="2:6">
      <c r="B838" s="12"/>
      <c r="C838" s="12"/>
      <c r="D838" s="13"/>
      <c r="E838" s="13"/>
      <c r="F838" s="18" t="s">
        <v>857</v>
      </c>
    </row>
    <row r="839" spans="2:6">
      <c r="B839" s="12"/>
      <c r="C839" s="12"/>
      <c r="D839" s="13"/>
      <c r="E839" s="13"/>
      <c r="F839" s="18" t="s">
        <v>858</v>
      </c>
    </row>
    <row r="840" spans="2:6">
      <c r="B840" s="12"/>
      <c r="C840" s="12"/>
      <c r="D840" s="13"/>
      <c r="E840" s="13"/>
      <c r="F840" s="18" t="s">
        <v>859</v>
      </c>
    </row>
    <row r="841" spans="2:6">
      <c r="B841" s="12"/>
      <c r="C841" s="12"/>
      <c r="D841" s="13"/>
      <c r="E841" s="13"/>
      <c r="F841" s="18" t="s">
        <v>860</v>
      </c>
    </row>
    <row r="842" spans="2:6">
      <c r="B842" s="12"/>
      <c r="C842" s="12"/>
      <c r="D842" s="13"/>
      <c r="E842" s="13"/>
      <c r="F842" s="18" t="s">
        <v>861</v>
      </c>
    </row>
    <row r="843" spans="2:6">
      <c r="B843" s="12"/>
      <c r="C843" s="12"/>
      <c r="D843" s="13"/>
      <c r="E843" s="13"/>
      <c r="F843" s="18" t="s">
        <v>862</v>
      </c>
    </row>
    <row r="844" spans="2:6">
      <c r="B844" s="12"/>
      <c r="C844" s="12"/>
      <c r="D844" s="13"/>
      <c r="E844" s="13"/>
      <c r="F844" s="18" t="s">
        <v>863</v>
      </c>
    </row>
    <row r="845" spans="2:6">
      <c r="B845" s="12"/>
      <c r="C845" s="12"/>
      <c r="D845" s="13"/>
      <c r="E845" s="13"/>
      <c r="F845" s="18" t="s">
        <v>864</v>
      </c>
    </row>
    <row r="846" spans="2:6">
      <c r="B846" s="12"/>
      <c r="C846" s="12"/>
      <c r="D846" s="13"/>
      <c r="E846" s="13"/>
      <c r="F846" s="18" t="s">
        <v>865</v>
      </c>
    </row>
    <row r="847" spans="2:6">
      <c r="B847" s="12"/>
      <c r="C847" s="12"/>
      <c r="D847" s="13"/>
      <c r="E847" s="13"/>
      <c r="F847" s="18" t="s">
        <v>866</v>
      </c>
    </row>
    <row r="848" spans="2:6">
      <c r="B848" s="12"/>
      <c r="C848" s="12"/>
      <c r="D848" s="13"/>
      <c r="E848" s="13"/>
      <c r="F848" s="18" t="s">
        <v>867</v>
      </c>
    </row>
    <row r="849" spans="2:6">
      <c r="B849" s="12"/>
      <c r="C849" s="12"/>
      <c r="D849" s="13"/>
      <c r="E849" s="13"/>
      <c r="F849" s="18" t="s">
        <v>735</v>
      </c>
    </row>
    <row r="850" spans="2:6">
      <c r="B850" s="12"/>
      <c r="C850" s="12"/>
      <c r="D850" s="13"/>
      <c r="E850" s="13"/>
      <c r="F850" s="18" t="s">
        <v>868</v>
      </c>
    </row>
    <row r="851" spans="2:6">
      <c r="B851" s="12"/>
      <c r="C851" s="12"/>
      <c r="D851" s="13"/>
      <c r="E851" s="13"/>
      <c r="F851" s="18" t="s">
        <v>737</v>
      </c>
    </row>
    <row r="852" spans="2:6">
      <c r="B852" s="12"/>
      <c r="C852" s="12"/>
      <c r="D852" s="13"/>
      <c r="E852" s="13"/>
      <c r="F852" s="18" t="s">
        <v>738</v>
      </c>
    </row>
    <row r="853" spans="2:6">
      <c r="B853" s="12"/>
      <c r="C853" s="12"/>
      <c r="D853" s="13"/>
      <c r="E853" s="13"/>
      <c r="F853" s="18" t="s">
        <v>739</v>
      </c>
    </row>
    <row r="854" spans="2:6">
      <c r="B854" s="12"/>
      <c r="C854" s="12"/>
      <c r="D854" s="13"/>
      <c r="E854" s="13"/>
      <c r="F854" s="18" t="s">
        <v>740</v>
      </c>
    </row>
    <row r="855" spans="2:6">
      <c r="B855" s="12"/>
      <c r="C855" s="12"/>
      <c r="D855" s="13"/>
      <c r="E855" s="13"/>
      <c r="F855" s="18" t="s">
        <v>869</v>
      </c>
    </row>
    <row r="856" spans="2:6">
      <c r="B856" s="12"/>
      <c r="C856" s="12"/>
      <c r="D856" s="13"/>
      <c r="E856" s="13"/>
      <c r="F856" s="18" t="s">
        <v>742</v>
      </c>
    </row>
    <row r="857" spans="2:6">
      <c r="B857" s="12"/>
      <c r="C857" s="12"/>
      <c r="D857" s="13"/>
      <c r="E857" s="13"/>
      <c r="F857" s="18" t="s">
        <v>743</v>
      </c>
    </row>
    <row r="858" spans="2:6">
      <c r="B858" s="12"/>
      <c r="C858" s="12"/>
      <c r="D858" s="13"/>
      <c r="E858" s="13"/>
      <c r="F858" s="18" t="s">
        <v>744</v>
      </c>
    </row>
    <row r="859" spans="2:6">
      <c r="B859" s="12"/>
      <c r="C859" s="12"/>
      <c r="D859" s="13"/>
      <c r="E859" s="13"/>
      <c r="F859" s="18" t="s">
        <v>745</v>
      </c>
    </row>
    <row r="860" spans="2:6">
      <c r="B860" s="12"/>
      <c r="C860" s="12"/>
      <c r="D860" s="13"/>
      <c r="E860" s="13"/>
      <c r="F860" s="18" t="s">
        <v>746</v>
      </c>
    </row>
    <row r="861" spans="2:6">
      <c r="B861" s="12"/>
      <c r="C861" s="12"/>
      <c r="D861" s="13"/>
      <c r="E861" s="13"/>
      <c r="F861" s="18" t="s">
        <v>747</v>
      </c>
    </row>
    <row r="862" spans="2:6">
      <c r="B862" s="12"/>
      <c r="C862" s="12"/>
      <c r="D862" s="13"/>
      <c r="E862" s="13"/>
      <c r="F862" s="18" t="s">
        <v>870</v>
      </c>
    </row>
    <row r="863" spans="2:6">
      <c r="B863" s="12"/>
      <c r="C863" s="12"/>
      <c r="D863" s="13"/>
      <c r="E863" s="13"/>
      <c r="F863" s="18" t="s">
        <v>749</v>
      </c>
    </row>
    <row r="864" spans="2:6">
      <c r="B864" s="12"/>
      <c r="C864" s="12"/>
      <c r="D864" s="13"/>
      <c r="E864" s="13"/>
      <c r="F864" s="18" t="s">
        <v>750</v>
      </c>
    </row>
    <row r="865" spans="2:6">
      <c r="B865" s="12"/>
      <c r="C865" s="12"/>
      <c r="D865" s="13"/>
      <c r="E865" s="13"/>
      <c r="F865" s="18" t="s">
        <v>751</v>
      </c>
    </row>
    <row r="866" spans="2:6">
      <c r="B866" s="12"/>
      <c r="C866" s="12"/>
      <c r="D866" s="13"/>
      <c r="E866" s="13"/>
      <c r="F866" s="18" t="s">
        <v>752</v>
      </c>
    </row>
    <row r="867" spans="2:6">
      <c r="B867" s="12"/>
      <c r="C867" s="12"/>
      <c r="D867" s="13"/>
      <c r="E867" s="13"/>
      <c r="F867" s="18" t="s">
        <v>753</v>
      </c>
    </row>
    <row r="868" spans="2:6">
      <c r="B868" s="12"/>
      <c r="C868" s="12"/>
      <c r="D868" s="13"/>
      <c r="E868" s="13"/>
      <c r="F868" s="18" t="s">
        <v>754</v>
      </c>
    </row>
    <row r="869" spans="2:6">
      <c r="B869" s="12"/>
      <c r="C869" s="12"/>
      <c r="D869" s="13"/>
      <c r="E869" s="13"/>
      <c r="F869" s="18" t="s">
        <v>871</v>
      </c>
    </row>
    <row r="870" spans="2:6">
      <c r="B870" s="12"/>
      <c r="C870" s="12"/>
      <c r="D870" s="13"/>
      <c r="E870" s="13"/>
      <c r="F870" s="18" t="s">
        <v>872</v>
      </c>
    </row>
    <row r="871" spans="2:6">
      <c r="B871" s="12"/>
      <c r="C871" s="12"/>
      <c r="D871" s="13"/>
      <c r="E871" s="13"/>
      <c r="F871" s="18" t="s">
        <v>757</v>
      </c>
    </row>
    <row r="872" spans="2:6">
      <c r="B872" s="12"/>
      <c r="C872" s="12"/>
      <c r="D872" s="13"/>
      <c r="E872" s="13"/>
      <c r="F872" s="18" t="s">
        <v>758</v>
      </c>
    </row>
    <row r="873" spans="2:6">
      <c r="B873" s="12"/>
      <c r="C873" s="12"/>
      <c r="D873" s="13"/>
      <c r="E873" s="13"/>
      <c r="F873" s="18" t="s">
        <v>759</v>
      </c>
    </row>
    <row r="874" spans="2:6">
      <c r="B874" s="12"/>
      <c r="C874" s="12"/>
      <c r="D874" s="13"/>
      <c r="E874" s="13"/>
      <c r="F874" s="18" t="s">
        <v>873</v>
      </c>
    </row>
    <row r="875" spans="2:6">
      <c r="B875" s="12"/>
      <c r="C875" s="12"/>
      <c r="D875" s="13"/>
      <c r="E875" s="13"/>
      <c r="F875" s="18" t="s">
        <v>874</v>
      </c>
    </row>
    <row r="876" spans="2:6">
      <c r="B876" s="12"/>
      <c r="C876" s="12"/>
      <c r="D876" s="13"/>
      <c r="E876" s="13"/>
      <c r="F876" s="18" t="s">
        <v>875</v>
      </c>
    </row>
    <row r="877" spans="2:6">
      <c r="B877" s="12"/>
      <c r="C877" s="12"/>
      <c r="D877" s="13"/>
      <c r="E877" s="13"/>
      <c r="F877" s="18" t="s">
        <v>762</v>
      </c>
    </row>
    <row r="878" spans="2:6">
      <c r="B878" s="12"/>
      <c r="C878" s="12"/>
      <c r="D878" s="13"/>
      <c r="E878" s="13"/>
      <c r="F878" s="18" t="s">
        <v>876</v>
      </c>
    </row>
    <row r="879" spans="2:6">
      <c r="B879" s="12"/>
      <c r="C879" s="12"/>
      <c r="D879" s="13"/>
      <c r="E879" s="13"/>
      <c r="F879" s="18" t="s">
        <v>764</v>
      </c>
    </row>
    <row r="880" spans="2:6">
      <c r="B880" s="12"/>
      <c r="C880" s="12"/>
      <c r="D880" s="13"/>
      <c r="E880" s="13"/>
      <c r="F880" s="18" t="s">
        <v>877</v>
      </c>
    </row>
    <row r="881" spans="2:6">
      <c r="B881" s="12"/>
      <c r="C881" s="12"/>
      <c r="D881" s="13"/>
      <c r="E881" s="13"/>
      <c r="F881" s="18" t="s">
        <v>878</v>
      </c>
    </row>
    <row r="882" spans="2:6">
      <c r="B882" s="12"/>
      <c r="C882" s="12"/>
      <c r="D882" s="13"/>
      <c r="E882" s="13"/>
      <c r="F882" s="18" t="s">
        <v>879</v>
      </c>
    </row>
    <row r="883" spans="2:6">
      <c r="B883" s="12"/>
      <c r="C883" s="12"/>
      <c r="D883" s="13"/>
      <c r="E883" s="13"/>
      <c r="F883" s="18" t="s">
        <v>880</v>
      </c>
    </row>
    <row r="884" spans="2:6">
      <c r="B884" s="12"/>
      <c r="C884" s="12"/>
      <c r="D884" s="13"/>
      <c r="E884" s="13"/>
      <c r="F884" s="18" t="s">
        <v>881</v>
      </c>
    </row>
    <row r="885" spans="2:6">
      <c r="B885" s="12"/>
      <c r="C885" s="12"/>
      <c r="D885" s="13"/>
      <c r="E885" s="13"/>
      <c r="F885" s="18" t="s">
        <v>587</v>
      </c>
    </row>
    <row r="886" spans="2:6">
      <c r="B886" s="12"/>
      <c r="C886" s="12"/>
      <c r="D886" s="13"/>
      <c r="E886" s="13"/>
      <c r="F886" s="14" t="s">
        <v>882</v>
      </c>
    </row>
    <row r="887" spans="2:6">
      <c r="B887" s="12"/>
      <c r="C887" s="12"/>
      <c r="D887" s="13"/>
      <c r="E887" s="13"/>
      <c r="F887" s="18" t="s">
        <v>883</v>
      </c>
    </row>
    <row r="888" spans="2:6">
      <c r="B888" s="12"/>
      <c r="C888" s="12"/>
      <c r="D888" s="13"/>
      <c r="E888" s="13"/>
    </row>
    <row r="889" spans="2:6">
      <c r="B889" s="12"/>
      <c r="C889" s="12"/>
      <c r="D889" s="13"/>
      <c r="E889" s="13" t="s">
        <v>26</v>
      </c>
    </row>
    <row r="890" spans="2:6">
      <c r="B890" s="12"/>
      <c r="C890" s="12"/>
      <c r="D890" s="13"/>
      <c r="E890" s="13"/>
    </row>
    <row r="891" spans="2:6">
      <c r="B891" s="12"/>
      <c r="C891" s="12"/>
      <c r="D891" s="13" t="s">
        <v>331</v>
      </c>
      <c r="E891" s="13"/>
      <c r="F891" s="18" t="s">
        <v>837</v>
      </c>
    </row>
    <row r="892" spans="2:6">
      <c r="B892" s="12"/>
      <c r="C892" s="12"/>
      <c r="D892" s="13"/>
      <c r="E892" s="13"/>
      <c r="F892" s="18" t="s">
        <v>838</v>
      </c>
    </row>
    <row r="893" spans="2:6">
      <c r="B893" s="12"/>
      <c r="C893" s="12"/>
      <c r="D893" s="13"/>
      <c r="E893" s="13"/>
      <c r="F893" s="18" t="s">
        <v>839</v>
      </c>
    </row>
    <row r="894" spans="2:6">
      <c r="B894" s="12"/>
      <c r="C894" s="12"/>
      <c r="D894" s="13"/>
      <c r="E894" s="13"/>
      <c r="F894" s="18" t="s">
        <v>840</v>
      </c>
    </row>
    <row r="895" spans="2:6">
      <c r="B895" s="12"/>
      <c r="C895" s="12"/>
      <c r="D895" s="13"/>
      <c r="E895" s="13"/>
      <c r="F895" s="18" t="s">
        <v>841</v>
      </c>
    </row>
    <row r="896" spans="2:6">
      <c r="B896" s="12"/>
      <c r="C896" s="12"/>
      <c r="D896" s="13"/>
      <c r="E896" s="13"/>
      <c r="F896" s="18" t="s">
        <v>842</v>
      </c>
    </row>
    <row r="897" spans="2:6">
      <c r="B897" s="12"/>
      <c r="C897" s="12"/>
      <c r="D897" s="13"/>
      <c r="E897" s="13"/>
      <c r="F897" s="18" t="s">
        <v>843</v>
      </c>
    </row>
    <row r="898" spans="2:6">
      <c r="B898" s="12"/>
      <c r="C898" s="12"/>
      <c r="D898" s="13"/>
      <c r="E898" s="13"/>
      <c r="F898" s="18" t="s">
        <v>844</v>
      </c>
    </row>
    <row r="899" spans="2:6">
      <c r="B899" s="12"/>
      <c r="C899" s="12"/>
      <c r="D899" s="13"/>
      <c r="E899" s="13"/>
      <c r="F899" s="18" t="s">
        <v>845</v>
      </c>
    </row>
    <row r="900" spans="2:6">
      <c r="B900" s="12"/>
      <c r="C900" s="12"/>
      <c r="D900" s="13"/>
      <c r="E900" s="13"/>
      <c r="F900" s="18" t="s">
        <v>846</v>
      </c>
    </row>
    <row r="901" spans="2:6">
      <c r="B901" s="12"/>
      <c r="C901" s="12"/>
      <c r="D901" s="13"/>
      <c r="E901" s="13"/>
      <c r="F901" s="18" t="s">
        <v>847</v>
      </c>
    </row>
    <row r="902" spans="2:6">
      <c r="B902" s="12"/>
      <c r="C902" s="12"/>
      <c r="D902" s="13"/>
      <c r="E902" s="13"/>
      <c r="F902" s="18" t="s">
        <v>848</v>
      </c>
    </row>
    <row r="903" spans="2:6">
      <c r="B903" s="12"/>
      <c r="C903" s="12"/>
      <c r="D903" s="13"/>
      <c r="E903" s="13"/>
      <c r="F903" s="18" t="s">
        <v>849</v>
      </c>
    </row>
    <row r="904" spans="2:6">
      <c r="B904" s="12"/>
      <c r="C904" s="12"/>
      <c r="D904" s="13"/>
      <c r="E904" s="13"/>
      <c r="F904" s="18" t="s">
        <v>850</v>
      </c>
    </row>
    <row r="905" spans="2:6">
      <c r="B905" s="12"/>
      <c r="C905" s="12"/>
      <c r="D905" s="13"/>
      <c r="E905" s="13"/>
      <c r="F905" s="18" t="s">
        <v>851</v>
      </c>
    </row>
    <row r="906" spans="2:6">
      <c r="B906" s="12"/>
      <c r="C906" s="12"/>
      <c r="D906" s="13"/>
      <c r="E906" s="13"/>
      <c r="F906" s="18" t="s">
        <v>852</v>
      </c>
    </row>
    <row r="907" spans="2:6">
      <c r="B907" s="12"/>
      <c r="C907" s="12"/>
      <c r="D907" s="13"/>
      <c r="E907" s="13"/>
      <c r="F907" s="18" t="s">
        <v>853</v>
      </c>
    </row>
    <row r="908" spans="2:6">
      <c r="B908" s="12"/>
      <c r="C908" s="12"/>
      <c r="D908" s="13"/>
      <c r="E908" s="13"/>
      <c r="F908" s="18" t="s">
        <v>854</v>
      </c>
    </row>
    <row r="909" spans="2:6">
      <c r="B909" s="12"/>
      <c r="C909" s="12"/>
      <c r="D909" s="13"/>
      <c r="E909" s="13"/>
      <c r="F909" s="18" t="s">
        <v>855</v>
      </c>
    </row>
    <row r="910" spans="2:6">
      <c r="B910" s="12"/>
      <c r="C910" s="12"/>
      <c r="D910" s="13"/>
      <c r="E910" s="13"/>
      <c r="F910" s="18" t="s">
        <v>856</v>
      </c>
    </row>
    <row r="911" spans="2:6">
      <c r="B911" s="12"/>
      <c r="C911" s="12"/>
      <c r="D911" s="13"/>
      <c r="E911" s="13"/>
      <c r="F911" s="18" t="s">
        <v>857</v>
      </c>
    </row>
    <row r="912" spans="2:6">
      <c r="B912" s="12"/>
      <c r="C912" s="12"/>
      <c r="D912" s="13"/>
      <c r="E912" s="13"/>
      <c r="F912" s="18" t="s">
        <v>858</v>
      </c>
    </row>
    <row r="913" spans="2:6">
      <c r="B913" s="12"/>
      <c r="C913" s="12"/>
      <c r="D913" s="13"/>
      <c r="E913" s="13"/>
      <c r="F913" s="18" t="s">
        <v>859</v>
      </c>
    </row>
    <row r="914" spans="2:6">
      <c r="B914" s="12"/>
      <c r="C914" s="12"/>
      <c r="D914" s="13"/>
      <c r="E914" s="13"/>
      <c r="F914" s="18" t="s">
        <v>860</v>
      </c>
    </row>
    <row r="915" spans="2:6">
      <c r="B915" s="12"/>
      <c r="C915" s="12"/>
      <c r="D915" s="13"/>
      <c r="E915" s="13"/>
      <c r="F915" s="18" t="s">
        <v>861</v>
      </c>
    </row>
    <row r="916" spans="2:6">
      <c r="B916" s="12"/>
      <c r="C916" s="12"/>
      <c r="D916" s="13"/>
      <c r="E916" s="13"/>
      <c r="F916" s="18" t="s">
        <v>862</v>
      </c>
    </row>
    <row r="917" spans="2:6">
      <c r="B917" s="12"/>
      <c r="C917" s="12"/>
      <c r="D917" s="13"/>
      <c r="E917" s="13"/>
      <c r="F917" s="18" t="s">
        <v>863</v>
      </c>
    </row>
    <row r="918" spans="2:6">
      <c r="B918" s="12"/>
      <c r="C918" s="12"/>
      <c r="D918" s="13"/>
      <c r="E918" s="13"/>
      <c r="F918" s="18" t="s">
        <v>864</v>
      </c>
    </row>
    <row r="919" spans="2:6">
      <c r="B919" s="12"/>
      <c r="C919" s="12"/>
      <c r="D919" s="13"/>
      <c r="E919" s="13"/>
      <c r="F919" s="18" t="s">
        <v>865</v>
      </c>
    </row>
    <row r="920" spans="2:6">
      <c r="B920" s="12"/>
      <c r="C920" s="12"/>
      <c r="D920" s="13"/>
      <c r="E920" s="13"/>
      <c r="F920" s="18" t="s">
        <v>866</v>
      </c>
    </row>
    <row r="921" spans="2:6">
      <c r="B921" s="12"/>
      <c r="C921" s="12"/>
      <c r="D921" s="13"/>
      <c r="E921" s="13"/>
      <c r="F921" s="18" t="s">
        <v>867</v>
      </c>
    </row>
    <row r="922" spans="2:6">
      <c r="B922" s="12"/>
      <c r="C922" s="12"/>
      <c r="D922" s="13"/>
      <c r="E922" s="13"/>
      <c r="F922" s="18" t="s">
        <v>735</v>
      </c>
    </row>
    <row r="923" spans="2:6">
      <c r="B923" s="12"/>
      <c r="C923" s="12"/>
      <c r="D923" s="13"/>
      <c r="E923" s="13"/>
      <c r="F923" s="18" t="s">
        <v>868</v>
      </c>
    </row>
    <row r="924" spans="2:6">
      <c r="B924" s="12"/>
      <c r="C924" s="12"/>
      <c r="D924" s="13"/>
      <c r="E924" s="13"/>
      <c r="F924" s="18" t="s">
        <v>737</v>
      </c>
    </row>
    <row r="925" spans="2:6">
      <c r="B925" s="12"/>
      <c r="C925" s="12"/>
      <c r="D925" s="13"/>
      <c r="E925" s="13"/>
      <c r="F925" s="18" t="s">
        <v>738</v>
      </c>
    </row>
    <row r="926" spans="2:6">
      <c r="B926" s="12"/>
      <c r="C926" s="12"/>
      <c r="D926" s="13"/>
      <c r="E926" s="13"/>
      <c r="F926" s="18" t="s">
        <v>739</v>
      </c>
    </row>
    <row r="927" spans="2:6">
      <c r="B927" s="12"/>
      <c r="C927" s="12"/>
      <c r="D927" s="13"/>
      <c r="E927" s="13"/>
      <c r="F927" s="18" t="s">
        <v>740</v>
      </c>
    </row>
    <row r="928" spans="2:6">
      <c r="B928" s="12"/>
      <c r="C928" s="12"/>
      <c r="D928" s="13"/>
      <c r="E928" s="13"/>
      <c r="F928" s="18" t="s">
        <v>869</v>
      </c>
    </row>
    <row r="929" spans="2:6">
      <c r="B929" s="12"/>
      <c r="C929" s="12"/>
      <c r="D929" s="13"/>
      <c r="E929" s="13"/>
      <c r="F929" s="18" t="s">
        <v>742</v>
      </c>
    </row>
    <row r="930" spans="2:6">
      <c r="B930" s="12"/>
      <c r="C930" s="12"/>
      <c r="D930" s="13"/>
      <c r="E930" s="13"/>
      <c r="F930" s="18" t="s">
        <v>743</v>
      </c>
    </row>
    <row r="931" spans="2:6">
      <c r="B931" s="12"/>
      <c r="C931" s="12"/>
      <c r="D931" s="13"/>
      <c r="E931" s="13"/>
      <c r="F931" s="18" t="s">
        <v>744</v>
      </c>
    </row>
    <row r="932" spans="2:6">
      <c r="B932" s="12"/>
      <c r="C932" s="12"/>
      <c r="D932" s="13"/>
      <c r="E932" s="13"/>
      <c r="F932" s="18" t="s">
        <v>745</v>
      </c>
    </row>
    <row r="933" spans="2:6">
      <c r="B933" s="12"/>
      <c r="C933" s="12"/>
      <c r="D933" s="13"/>
      <c r="E933" s="13"/>
      <c r="F933" s="18" t="s">
        <v>746</v>
      </c>
    </row>
    <row r="934" spans="2:6">
      <c r="B934" s="12"/>
      <c r="C934" s="12"/>
      <c r="D934" s="13"/>
      <c r="E934" s="13"/>
      <c r="F934" s="18" t="s">
        <v>747</v>
      </c>
    </row>
    <row r="935" spans="2:6">
      <c r="B935" s="12"/>
      <c r="C935" s="12"/>
      <c r="D935" s="13"/>
      <c r="E935" s="13"/>
      <c r="F935" s="18" t="s">
        <v>884</v>
      </c>
    </row>
    <row r="936" spans="2:6">
      <c r="B936" s="12"/>
      <c r="C936" s="12"/>
      <c r="D936" s="13"/>
      <c r="E936" s="13"/>
      <c r="F936" s="18" t="s">
        <v>749</v>
      </c>
    </row>
    <row r="937" spans="2:6">
      <c r="B937" s="12"/>
      <c r="C937" s="12"/>
      <c r="D937" s="13"/>
      <c r="E937" s="13"/>
      <c r="F937" s="18" t="s">
        <v>750</v>
      </c>
    </row>
    <row r="938" spans="2:6">
      <c r="B938" s="12"/>
      <c r="C938" s="12"/>
      <c r="D938" s="13"/>
      <c r="E938" s="13"/>
      <c r="F938" s="18" t="s">
        <v>751</v>
      </c>
    </row>
    <row r="939" spans="2:6">
      <c r="B939" s="12"/>
      <c r="C939" s="12"/>
      <c r="D939" s="13"/>
      <c r="E939" s="13"/>
      <c r="F939" s="18" t="s">
        <v>752</v>
      </c>
    </row>
    <row r="940" spans="2:6">
      <c r="B940" s="12"/>
      <c r="C940" s="12"/>
      <c r="D940" s="13"/>
      <c r="E940" s="13"/>
      <c r="F940" s="18" t="s">
        <v>753</v>
      </c>
    </row>
    <row r="941" spans="2:6">
      <c r="B941" s="12"/>
      <c r="C941" s="12"/>
      <c r="D941" s="13"/>
      <c r="E941" s="13"/>
      <c r="F941" s="18" t="s">
        <v>754</v>
      </c>
    </row>
    <row r="942" spans="2:6">
      <c r="B942" s="12"/>
      <c r="C942" s="12"/>
      <c r="D942" s="13"/>
      <c r="E942" s="13"/>
      <c r="F942" s="18" t="s">
        <v>885</v>
      </c>
    </row>
    <row r="943" spans="2:6">
      <c r="B943" s="12"/>
      <c r="C943" s="12"/>
      <c r="D943" s="13"/>
      <c r="E943" s="13"/>
      <c r="F943" s="18" t="s">
        <v>872</v>
      </c>
    </row>
    <row r="944" spans="2:6">
      <c r="B944" s="12"/>
      <c r="C944" s="12"/>
      <c r="D944" s="13"/>
      <c r="E944" s="13"/>
      <c r="F944" s="18" t="s">
        <v>757</v>
      </c>
    </row>
    <row r="945" spans="2:6">
      <c r="B945" s="12"/>
      <c r="C945" s="12"/>
      <c r="D945" s="13"/>
      <c r="E945" s="13"/>
      <c r="F945" s="18" t="s">
        <v>758</v>
      </c>
    </row>
    <row r="946" spans="2:6">
      <c r="B946" s="12"/>
      <c r="C946" s="12"/>
      <c r="D946" s="13"/>
      <c r="E946" s="13"/>
      <c r="F946" s="18" t="s">
        <v>759</v>
      </c>
    </row>
    <row r="947" spans="2:6">
      <c r="B947" s="12"/>
      <c r="C947" s="12"/>
      <c r="D947" s="13"/>
      <c r="E947" s="13"/>
      <c r="F947" s="18" t="s">
        <v>873</v>
      </c>
    </row>
    <row r="948" spans="2:6">
      <c r="B948" s="12"/>
      <c r="C948" s="12"/>
      <c r="D948" s="13"/>
      <c r="E948" s="13"/>
      <c r="F948" s="18" t="s">
        <v>874</v>
      </c>
    </row>
    <row r="949" spans="2:6">
      <c r="B949" s="12"/>
      <c r="C949" s="12"/>
      <c r="D949" s="13"/>
      <c r="E949" s="13"/>
      <c r="F949" s="18" t="s">
        <v>875</v>
      </c>
    </row>
    <row r="950" spans="2:6">
      <c r="B950" s="12"/>
      <c r="C950" s="12"/>
      <c r="D950" s="13"/>
      <c r="E950" s="13"/>
      <c r="F950" s="18" t="s">
        <v>762</v>
      </c>
    </row>
    <row r="951" spans="2:6">
      <c r="B951" s="12"/>
      <c r="C951" s="12"/>
      <c r="D951" s="13"/>
      <c r="E951" s="13"/>
      <c r="F951" s="18" t="s">
        <v>876</v>
      </c>
    </row>
    <row r="952" spans="2:6">
      <c r="B952" s="12"/>
      <c r="C952" s="12"/>
      <c r="D952" s="13"/>
      <c r="E952" s="13"/>
      <c r="F952" s="18" t="s">
        <v>764</v>
      </c>
    </row>
    <row r="953" spans="2:6">
      <c r="B953" s="12"/>
      <c r="C953" s="12"/>
      <c r="D953" s="13"/>
      <c r="E953" s="13"/>
      <c r="F953" s="18" t="s">
        <v>877</v>
      </c>
    </row>
    <row r="954" spans="2:6">
      <c r="B954" s="12"/>
      <c r="C954" s="12"/>
      <c r="D954" s="13"/>
      <c r="E954" s="13"/>
      <c r="F954" s="18" t="s">
        <v>878</v>
      </c>
    </row>
    <row r="955" spans="2:6">
      <c r="B955" s="12"/>
      <c r="C955" s="12"/>
      <c r="D955" s="13"/>
      <c r="E955" s="13"/>
      <c r="F955" s="18" t="s">
        <v>879</v>
      </c>
    </row>
    <row r="956" spans="2:6">
      <c r="B956" s="12"/>
      <c r="C956" s="12"/>
      <c r="D956" s="13"/>
      <c r="E956" s="13"/>
      <c r="F956" s="18" t="s">
        <v>880</v>
      </c>
    </row>
    <row r="957" spans="2:6">
      <c r="B957" s="12"/>
      <c r="C957" s="12"/>
      <c r="D957" s="13"/>
      <c r="E957" s="13"/>
      <c r="F957" s="18" t="s">
        <v>881</v>
      </c>
    </row>
    <row r="958" spans="2:6">
      <c r="B958" s="12"/>
      <c r="C958" s="12"/>
      <c r="D958" s="13"/>
      <c r="E958" s="13"/>
      <c r="F958" s="18" t="s">
        <v>587</v>
      </c>
    </row>
    <row r="959" spans="2:6">
      <c r="B959" s="12"/>
      <c r="C959" s="12"/>
      <c r="D959" s="13"/>
      <c r="E959" s="13"/>
      <c r="F959" s="14" t="s">
        <v>886</v>
      </c>
    </row>
    <row r="960" spans="2:6">
      <c r="B960" s="12"/>
      <c r="C960" s="12"/>
      <c r="D960" s="13"/>
      <c r="E960" s="13"/>
      <c r="F960" s="18" t="s">
        <v>883</v>
      </c>
    </row>
    <row r="961" spans="2:6">
      <c r="B961" s="12"/>
      <c r="C961" s="12"/>
      <c r="D961" s="13"/>
      <c r="E961" s="13"/>
    </row>
    <row r="962" spans="2:6">
      <c r="B962" s="12"/>
      <c r="C962" s="12"/>
      <c r="D962" s="13"/>
      <c r="E962" s="13" t="s">
        <v>26</v>
      </c>
    </row>
    <row r="963" spans="2:6">
      <c r="B963" s="12"/>
      <c r="C963" s="12"/>
      <c r="D963" s="13"/>
      <c r="E963" s="13"/>
    </row>
    <row r="964" spans="2:6">
      <c r="B964" s="12"/>
      <c r="C964" s="12"/>
      <c r="D964" s="13" t="s">
        <v>342</v>
      </c>
      <c r="E964" s="13"/>
      <c r="F964" s="18" t="s">
        <v>837</v>
      </c>
    </row>
    <row r="965" spans="2:6">
      <c r="B965" s="12"/>
      <c r="C965" s="12"/>
      <c r="D965" s="13"/>
      <c r="E965" s="13"/>
      <c r="F965" s="18" t="s">
        <v>838</v>
      </c>
    </row>
    <row r="966" spans="2:6">
      <c r="B966" s="12"/>
      <c r="C966" s="12"/>
      <c r="D966" s="13"/>
      <c r="E966" s="13"/>
      <c r="F966" s="18" t="s">
        <v>839</v>
      </c>
    </row>
    <row r="967" spans="2:6">
      <c r="B967" s="12"/>
      <c r="C967" s="12"/>
      <c r="D967" s="13"/>
      <c r="E967" s="13"/>
      <c r="F967" s="18" t="s">
        <v>840</v>
      </c>
    </row>
    <row r="968" spans="2:6">
      <c r="B968" s="12"/>
      <c r="C968" s="12"/>
      <c r="D968" s="13"/>
      <c r="E968" s="13"/>
      <c r="F968" s="18" t="s">
        <v>841</v>
      </c>
    </row>
    <row r="969" spans="2:6">
      <c r="B969" s="12"/>
      <c r="C969" s="12"/>
      <c r="D969" s="13"/>
      <c r="E969" s="13"/>
      <c r="F969" s="18" t="s">
        <v>842</v>
      </c>
    </row>
    <row r="970" spans="2:6">
      <c r="B970" s="12"/>
      <c r="C970" s="12"/>
      <c r="D970" s="13"/>
      <c r="E970" s="13"/>
      <c r="F970" s="18" t="s">
        <v>843</v>
      </c>
    </row>
    <row r="971" spans="2:6">
      <c r="B971" s="12"/>
      <c r="C971" s="12"/>
      <c r="D971" s="13"/>
      <c r="E971" s="13"/>
      <c r="F971" s="18" t="s">
        <v>844</v>
      </c>
    </row>
    <row r="972" spans="2:6">
      <c r="B972" s="12"/>
      <c r="C972" s="12"/>
      <c r="D972" s="13"/>
      <c r="E972" s="13"/>
      <c r="F972" s="18" t="s">
        <v>845</v>
      </c>
    </row>
    <row r="973" spans="2:6">
      <c r="B973" s="12"/>
      <c r="C973" s="12"/>
      <c r="D973" s="13"/>
      <c r="E973" s="13"/>
      <c r="F973" s="18" t="s">
        <v>846</v>
      </c>
    </row>
    <row r="974" spans="2:6">
      <c r="B974" s="12"/>
      <c r="C974" s="12"/>
      <c r="D974" s="13"/>
      <c r="E974" s="13"/>
      <c r="F974" s="18" t="s">
        <v>847</v>
      </c>
    </row>
    <row r="975" spans="2:6">
      <c r="B975" s="12"/>
      <c r="C975" s="12"/>
      <c r="D975" s="13"/>
      <c r="E975" s="13"/>
      <c r="F975" s="18" t="s">
        <v>848</v>
      </c>
    </row>
    <row r="976" spans="2:6">
      <c r="B976" s="12"/>
      <c r="C976" s="12"/>
      <c r="D976" s="13"/>
      <c r="E976" s="13"/>
      <c r="F976" s="18" t="s">
        <v>849</v>
      </c>
    </row>
    <row r="977" spans="2:6">
      <c r="B977" s="12"/>
      <c r="C977" s="12"/>
      <c r="D977" s="13"/>
      <c r="E977" s="13"/>
      <c r="F977" s="18" t="s">
        <v>850</v>
      </c>
    </row>
    <row r="978" spans="2:6">
      <c r="B978" s="12"/>
      <c r="C978" s="12"/>
      <c r="D978" s="13"/>
      <c r="E978" s="13"/>
      <c r="F978" s="18" t="s">
        <v>851</v>
      </c>
    </row>
    <row r="979" spans="2:6">
      <c r="B979" s="12"/>
      <c r="C979" s="12"/>
      <c r="D979" s="13"/>
      <c r="E979" s="13"/>
      <c r="F979" s="18" t="s">
        <v>852</v>
      </c>
    </row>
    <row r="980" spans="2:6">
      <c r="B980" s="12"/>
      <c r="C980" s="12"/>
      <c r="D980" s="13"/>
      <c r="E980" s="13"/>
      <c r="F980" s="18" t="s">
        <v>853</v>
      </c>
    </row>
    <row r="981" spans="2:6">
      <c r="B981" s="12"/>
      <c r="C981" s="12"/>
      <c r="D981" s="13"/>
      <c r="E981" s="13"/>
      <c r="F981" s="18" t="s">
        <v>854</v>
      </c>
    </row>
    <row r="982" spans="2:6">
      <c r="B982" s="12"/>
      <c r="C982" s="12"/>
      <c r="D982" s="13"/>
      <c r="E982" s="13"/>
      <c r="F982" s="18" t="s">
        <v>855</v>
      </c>
    </row>
    <row r="983" spans="2:6">
      <c r="B983" s="12"/>
      <c r="C983" s="12"/>
      <c r="D983" s="13"/>
      <c r="E983" s="13"/>
      <c r="F983" s="18" t="s">
        <v>856</v>
      </c>
    </row>
    <row r="984" spans="2:6">
      <c r="B984" s="12"/>
      <c r="C984" s="12"/>
      <c r="D984" s="13"/>
      <c r="E984" s="13"/>
      <c r="F984" s="18" t="s">
        <v>857</v>
      </c>
    </row>
    <row r="985" spans="2:6">
      <c r="B985" s="12"/>
      <c r="C985" s="12"/>
      <c r="D985" s="13"/>
      <c r="E985" s="13"/>
      <c r="F985" s="18" t="s">
        <v>858</v>
      </c>
    </row>
    <row r="986" spans="2:6">
      <c r="B986" s="12"/>
      <c r="C986" s="12"/>
      <c r="D986" s="13"/>
      <c r="E986" s="13"/>
      <c r="F986" s="18" t="s">
        <v>859</v>
      </c>
    </row>
    <row r="987" spans="2:6">
      <c r="B987" s="12"/>
      <c r="C987" s="12"/>
      <c r="D987" s="13"/>
      <c r="E987" s="13"/>
      <c r="F987" s="18" t="s">
        <v>860</v>
      </c>
    </row>
    <row r="988" spans="2:6">
      <c r="B988" s="12"/>
      <c r="C988" s="12"/>
      <c r="D988" s="13"/>
      <c r="E988" s="13"/>
      <c r="F988" s="18" t="s">
        <v>861</v>
      </c>
    </row>
    <row r="989" spans="2:6">
      <c r="B989" s="12"/>
      <c r="C989" s="12"/>
      <c r="D989" s="13"/>
      <c r="E989" s="13"/>
      <c r="F989" s="18" t="s">
        <v>862</v>
      </c>
    </row>
    <row r="990" spans="2:6">
      <c r="B990" s="12"/>
      <c r="C990" s="12"/>
      <c r="D990" s="13"/>
      <c r="E990" s="13"/>
      <c r="F990" s="18" t="s">
        <v>863</v>
      </c>
    </row>
    <row r="991" spans="2:6">
      <c r="B991" s="12"/>
      <c r="C991" s="12"/>
      <c r="D991" s="13"/>
      <c r="E991" s="13"/>
      <c r="F991" s="18" t="s">
        <v>864</v>
      </c>
    </row>
    <row r="992" spans="2:6">
      <c r="B992" s="12"/>
      <c r="C992" s="12"/>
      <c r="D992" s="13"/>
      <c r="E992" s="13"/>
      <c r="F992" s="18" t="s">
        <v>865</v>
      </c>
    </row>
    <row r="993" spans="2:6">
      <c r="B993" s="12"/>
      <c r="C993" s="12"/>
      <c r="D993" s="13"/>
      <c r="E993" s="13"/>
      <c r="F993" s="18" t="s">
        <v>866</v>
      </c>
    </row>
    <row r="994" spans="2:6">
      <c r="B994" s="12"/>
      <c r="C994" s="12"/>
      <c r="D994" s="13"/>
      <c r="E994" s="13"/>
      <c r="F994" s="18" t="s">
        <v>867</v>
      </c>
    </row>
    <row r="995" spans="2:6">
      <c r="B995" s="12"/>
      <c r="C995" s="12"/>
      <c r="D995" s="13"/>
      <c r="E995" s="13"/>
      <c r="F995" s="18" t="s">
        <v>735</v>
      </c>
    </row>
    <row r="996" spans="2:6">
      <c r="B996" s="12"/>
      <c r="C996" s="12"/>
      <c r="D996" s="13"/>
      <c r="E996" s="13"/>
      <c r="F996" s="18" t="s">
        <v>868</v>
      </c>
    </row>
    <row r="997" spans="2:6">
      <c r="B997" s="12"/>
      <c r="C997" s="12"/>
      <c r="D997" s="13"/>
      <c r="E997" s="13"/>
      <c r="F997" s="18" t="s">
        <v>737</v>
      </c>
    </row>
    <row r="998" spans="2:6">
      <c r="B998" s="12"/>
      <c r="C998" s="12"/>
      <c r="D998" s="13"/>
      <c r="E998" s="13"/>
      <c r="F998" s="18" t="s">
        <v>738</v>
      </c>
    </row>
    <row r="999" spans="2:6">
      <c r="B999" s="12"/>
      <c r="C999" s="12"/>
      <c r="D999" s="13"/>
      <c r="E999" s="13"/>
      <c r="F999" s="18" t="s">
        <v>739</v>
      </c>
    </row>
    <row r="1000" spans="2:6">
      <c r="B1000" s="12"/>
      <c r="C1000" s="12"/>
      <c r="D1000" s="13"/>
      <c r="E1000" s="13"/>
      <c r="F1000" s="18" t="s">
        <v>740</v>
      </c>
    </row>
    <row r="1001" spans="2:6">
      <c r="B1001" s="12"/>
      <c r="C1001" s="12"/>
      <c r="D1001" s="13"/>
      <c r="E1001" s="13"/>
      <c r="F1001" s="18" t="s">
        <v>869</v>
      </c>
    </row>
    <row r="1002" spans="2:6">
      <c r="B1002" s="12"/>
      <c r="C1002" s="12"/>
      <c r="D1002" s="13"/>
      <c r="E1002" s="13"/>
      <c r="F1002" s="18" t="s">
        <v>742</v>
      </c>
    </row>
    <row r="1003" spans="2:6">
      <c r="B1003" s="12"/>
      <c r="C1003" s="12"/>
      <c r="D1003" s="13"/>
      <c r="E1003" s="13"/>
      <c r="F1003" s="18" t="s">
        <v>743</v>
      </c>
    </row>
    <row r="1004" spans="2:6">
      <c r="B1004" s="12"/>
      <c r="C1004" s="12"/>
      <c r="D1004" s="13"/>
      <c r="E1004" s="13"/>
      <c r="F1004" s="18" t="s">
        <v>744</v>
      </c>
    </row>
    <row r="1005" spans="2:6">
      <c r="B1005" s="12"/>
      <c r="C1005" s="12"/>
      <c r="D1005" s="13"/>
      <c r="E1005" s="13"/>
      <c r="F1005" s="18" t="s">
        <v>745</v>
      </c>
    </row>
    <row r="1006" spans="2:6">
      <c r="B1006" s="12"/>
      <c r="C1006" s="12"/>
      <c r="D1006" s="13"/>
      <c r="E1006" s="13"/>
      <c r="F1006" s="18" t="s">
        <v>746</v>
      </c>
    </row>
    <row r="1007" spans="2:6">
      <c r="B1007" s="12"/>
      <c r="C1007" s="12"/>
      <c r="D1007" s="13"/>
      <c r="E1007" s="13"/>
      <c r="F1007" s="18" t="s">
        <v>747</v>
      </c>
    </row>
    <row r="1008" spans="2:6">
      <c r="B1008" s="12"/>
      <c r="C1008" s="12"/>
      <c r="D1008" s="13"/>
      <c r="E1008" s="13"/>
      <c r="F1008" s="18" t="s">
        <v>884</v>
      </c>
    </row>
    <row r="1009" spans="2:6">
      <c r="B1009" s="12"/>
      <c r="C1009" s="12"/>
      <c r="D1009" s="13"/>
      <c r="E1009" s="13"/>
      <c r="F1009" s="18" t="s">
        <v>749</v>
      </c>
    </row>
    <row r="1010" spans="2:6">
      <c r="B1010" s="12"/>
      <c r="C1010" s="12"/>
      <c r="D1010" s="13"/>
      <c r="E1010" s="13"/>
      <c r="F1010" s="18" t="s">
        <v>750</v>
      </c>
    </row>
    <row r="1011" spans="2:6">
      <c r="B1011" s="12"/>
      <c r="C1011" s="12"/>
      <c r="D1011" s="13"/>
      <c r="E1011" s="13"/>
      <c r="F1011" s="18" t="s">
        <v>751</v>
      </c>
    </row>
    <row r="1012" spans="2:6">
      <c r="B1012" s="12"/>
      <c r="C1012" s="12"/>
      <c r="D1012" s="13"/>
      <c r="E1012" s="13"/>
      <c r="F1012" s="18" t="s">
        <v>752</v>
      </c>
    </row>
    <row r="1013" spans="2:6">
      <c r="B1013" s="12"/>
      <c r="C1013" s="12"/>
      <c r="D1013" s="13"/>
      <c r="E1013" s="13"/>
      <c r="F1013" s="18" t="s">
        <v>753</v>
      </c>
    </row>
    <row r="1014" spans="2:6">
      <c r="B1014" s="12"/>
      <c r="C1014" s="12"/>
      <c r="D1014" s="13"/>
      <c r="E1014" s="13"/>
      <c r="F1014" s="18" t="s">
        <v>754</v>
      </c>
    </row>
    <row r="1015" spans="2:6">
      <c r="B1015" s="12"/>
      <c r="C1015" s="12"/>
      <c r="D1015" s="13"/>
      <c r="E1015" s="13"/>
      <c r="F1015" s="18" t="s">
        <v>885</v>
      </c>
    </row>
    <row r="1016" spans="2:6">
      <c r="B1016" s="12"/>
      <c r="C1016" s="12"/>
      <c r="D1016" s="13"/>
      <c r="E1016" s="13"/>
      <c r="F1016" s="18" t="s">
        <v>872</v>
      </c>
    </row>
    <row r="1017" spans="2:6">
      <c r="B1017" s="12"/>
      <c r="C1017" s="12"/>
      <c r="D1017" s="13"/>
      <c r="E1017" s="13"/>
      <c r="F1017" s="18" t="s">
        <v>757</v>
      </c>
    </row>
    <row r="1018" spans="2:6">
      <c r="B1018" s="12"/>
      <c r="C1018" s="12"/>
      <c r="D1018" s="13"/>
      <c r="E1018" s="13"/>
      <c r="F1018" s="18" t="s">
        <v>758</v>
      </c>
    </row>
    <row r="1019" spans="2:6">
      <c r="B1019" s="12"/>
      <c r="C1019" s="12"/>
      <c r="D1019" s="13"/>
      <c r="E1019" s="13"/>
      <c r="F1019" s="18" t="s">
        <v>759</v>
      </c>
    </row>
    <row r="1020" spans="2:6">
      <c r="B1020" s="12"/>
      <c r="C1020" s="12"/>
      <c r="D1020" s="13"/>
      <c r="E1020" s="13"/>
      <c r="F1020" s="18" t="s">
        <v>873</v>
      </c>
    </row>
    <row r="1021" spans="2:6">
      <c r="B1021" s="12"/>
      <c r="C1021" s="12"/>
      <c r="D1021" s="13"/>
      <c r="E1021" s="13"/>
      <c r="F1021" s="18" t="s">
        <v>874</v>
      </c>
    </row>
    <row r="1022" spans="2:6">
      <c r="B1022" s="12"/>
      <c r="C1022" s="12"/>
      <c r="D1022" s="13"/>
      <c r="E1022" s="13"/>
      <c r="F1022" s="18" t="s">
        <v>875</v>
      </c>
    </row>
    <row r="1023" spans="2:6">
      <c r="B1023" s="12"/>
      <c r="C1023" s="12"/>
      <c r="D1023" s="13"/>
      <c r="E1023" s="13"/>
      <c r="F1023" s="18" t="s">
        <v>762</v>
      </c>
    </row>
    <row r="1024" spans="2:6">
      <c r="B1024" s="12"/>
      <c r="C1024" s="12"/>
      <c r="D1024" s="13"/>
      <c r="E1024" s="13"/>
      <c r="F1024" s="18" t="s">
        <v>876</v>
      </c>
    </row>
    <row r="1025" spans="2:6">
      <c r="B1025" s="12"/>
      <c r="C1025" s="12"/>
      <c r="D1025" s="13"/>
      <c r="E1025" s="13"/>
      <c r="F1025" s="18" t="s">
        <v>764</v>
      </c>
    </row>
    <row r="1026" spans="2:6">
      <c r="B1026" s="12"/>
      <c r="C1026" s="12"/>
      <c r="D1026" s="13"/>
      <c r="E1026" s="13"/>
      <c r="F1026" s="18" t="s">
        <v>877</v>
      </c>
    </row>
    <row r="1027" spans="2:6">
      <c r="B1027" s="12"/>
      <c r="C1027" s="12"/>
      <c r="D1027" s="13"/>
      <c r="E1027" s="13"/>
      <c r="F1027" s="18" t="s">
        <v>878</v>
      </c>
    </row>
    <row r="1028" spans="2:6">
      <c r="B1028" s="12"/>
      <c r="C1028" s="12"/>
      <c r="D1028" s="13"/>
      <c r="E1028" s="13"/>
      <c r="F1028" s="18" t="s">
        <v>879</v>
      </c>
    </row>
    <row r="1029" spans="2:6">
      <c r="B1029" s="12"/>
      <c r="C1029" s="12"/>
      <c r="D1029" s="13"/>
      <c r="E1029" s="13"/>
      <c r="F1029" s="18" t="s">
        <v>880</v>
      </c>
    </row>
    <row r="1030" spans="2:6">
      <c r="B1030" s="12"/>
      <c r="C1030" s="12"/>
      <c r="D1030" s="13"/>
      <c r="E1030" s="13"/>
      <c r="F1030" s="18" t="s">
        <v>881</v>
      </c>
    </row>
    <row r="1031" spans="2:6">
      <c r="B1031" s="12"/>
      <c r="C1031" s="12"/>
      <c r="D1031" s="13"/>
      <c r="E1031" s="13"/>
      <c r="F1031" s="18" t="s">
        <v>587</v>
      </c>
    </row>
    <row r="1032" spans="2:6">
      <c r="B1032" s="12"/>
      <c r="C1032" s="12"/>
      <c r="D1032" s="13"/>
      <c r="E1032" s="13"/>
      <c r="F1032" s="18" t="s">
        <v>887</v>
      </c>
    </row>
    <row r="1033" spans="2:6">
      <c r="B1033" s="12"/>
      <c r="C1033" s="12"/>
      <c r="D1033" s="13"/>
      <c r="E1033" s="13"/>
      <c r="F1033" s="18" t="s">
        <v>883</v>
      </c>
    </row>
    <row r="1034" spans="2:6">
      <c r="B1034" s="12"/>
      <c r="C1034" s="12"/>
      <c r="D1034" s="13"/>
      <c r="E1034" s="13"/>
    </row>
    <row r="1035" spans="2:6">
      <c r="B1035" s="12"/>
      <c r="C1035" s="12"/>
      <c r="D1035" s="13"/>
      <c r="E1035" s="13" t="s">
        <v>26</v>
      </c>
    </row>
    <row r="1036" spans="2:6">
      <c r="B1036" s="12"/>
      <c r="C1036" s="12"/>
      <c r="D1036" s="13"/>
      <c r="E1036" s="13"/>
    </row>
    <row r="1037" spans="2:6">
      <c r="B1037" s="12"/>
      <c r="C1037" s="12"/>
      <c r="D1037" s="13" t="s">
        <v>351</v>
      </c>
      <c r="E1037" s="13"/>
    </row>
    <row r="1038" spans="2:6">
      <c r="B1038" s="12"/>
      <c r="C1038" s="12"/>
      <c r="D1038" s="13"/>
      <c r="E1038" s="13"/>
    </row>
    <row r="1039" spans="2:6">
      <c r="B1039" s="12"/>
      <c r="C1039" s="12"/>
      <c r="D1039" s="13"/>
      <c r="E1039" s="13" t="s">
        <v>888</v>
      </c>
      <c r="F1039" s="18" t="s">
        <v>837</v>
      </c>
    </row>
    <row r="1040" spans="2:6">
      <c r="B1040" s="12"/>
      <c r="C1040" s="12"/>
      <c r="D1040" s="13"/>
      <c r="E1040" s="13"/>
      <c r="F1040" s="18" t="s">
        <v>838</v>
      </c>
    </row>
    <row r="1041" spans="2:6">
      <c r="B1041" s="12"/>
      <c r="C1041" s="12"/>
      <c r="D1041" s="13"/>
      <c r="E1041" s="13"/>
      <c r="F1041" s="18" t="s">
        <v>839</v>
      </c>
    </row>
    <row r="1042" spans="2:6">
      <c r="B1042" s="12"/>
      <c r="C1042" s="12"/>
      <c r="D1042" s="13"/>
      <c r="E1042" s="13"/>
      <c r="F1042" s="18" t="s">
        <v>840</v>
      </c>
    </row>
    <row r="1043" spans="2:6">
      <c r="B1043" s="12"/>
      <c r="C1043" s="12"/>
      <c r="D1043" s="13"/>
      <c r="E1043" s="13"/>
      <c r="F1043" s="18" t="s">
        <v>841</v>
      </c>
    </row>
    <row r="1044" spans="2:6">
      <c r="B1044" s="12"/>
      <c r="C1044" s="12"/>
      <c r="D1044" s="13"/>
      <c r="E1044" s="13"/>
      <c r="F1044" s="18" t="s">
        <v>842</v>
      </c>
    </row>
    <row r="1045" spans="2:6">
      <c r="B1045" s="12"/>
      <c r="C1045" s="12"/>
      <c r="D1045" s="13"/>
      <c r="E1045" s="13"/>
      <c r="F1045" s="18" t="s">
        <v>843</v>
      </c>
    </row>
    <row r="1046" spans="2:6">
      <c r="B1046" s="12"/>
      <c r="C1046" s="12"/>
      <c r="D1046" s="13"/>
      <c r="E1046" s="13"/>
      <c r="F1046" s="18" t="s">
        <v>844</v>
      </c>
    </row>
    <row r="1047" spans="2:6">
      <c r="B1047" s="12"/>
      <c r="C1047" s="12"/>
      <c r="D1047" s="13"/>
      <c r="E1047" s="13"/>
      <c r="F1047" s="18" t="s">
        <v>845</v>
      </c>
    </row>
    <row r="1048" spans="2:6">
      <c r="B1048" s="12"/>
      <c r="C1048" s="12"/>
      <c r="D1048" s="13"/>
      <c r="E1048" s="13"/>
      <c r="F1048" s="18" t="s">
        <v>846</v>
      </c>
    </row>
    <row r="1049" spans="2:6">
      <c r="B1049" s="12"/>
      <c r="C1049" s="12"/>
      <c r="D1049" s="13"/>
      <c r="E1049" s="13"/>
      <c r="F1049" s="18" t="s">
        <v>847</v>
      </c>
    </row>
    <row r="1050" spans="2:6">
      <c r="B1050" s="12"/>
      <c r="C1050" s="12"/>
      <c r="D1050" s="13"/>
      <c r="E1050" s="13"/>
      <c r="F1050" s="18" t="s">
        <v>848</v>
      </c>
    </row>
    <row r="1051" spans="2:6">
      <c r="B1051" s="12"/>
      <c r="C1051" s="12"/>
      <c r="D1051" s="13"/>
      <c r="E1051" s="13"/>
      <c r="F1051" s="18" t="s">
        <v>849</v>
      </c>
    </row>
    <row r="1052" spans="2:6">
      <c r="B1052" s="12"/>
      <c r="C1052" s="12"/>
      <c r="D1052" s="13"/>
      <c r="E1052" s="13"/>
      <c r="F1052" s="18" t="s">
        <v>850</v>
      </c>
    </row>
    <row r="1053" spans="2:6">
      <c r="B1053" s="12"/>
      <c r="C1053" s="12"/>
      <c r="D1053" s="13"/>
      <c r="E1053" s="13"/>
      <c r="F1053" s="18" t="s">
        <v>851</v>
      </c>
    </row>
    <row r="1054" spans="2:6">
      <c r="B1054" s="12"/>
      <c r="C1054" s="12"/>
      <c r="D1054" s="13"/>
      <c r="E1054" s="13"/>
      <c r="F1054" s="18" t="s">
        <v>852</v>
      </c>
    </row>
    <row r="1055" spans="2:6">
      <c r="B1055" s="12"/>
      <c r="C1055" s="12"/>
      <c r="D1055" s="13"/>
      <c r="E1055" s="13"/>
      <c r="F1055" s="18" t="s">
        <v>853</v>
      </c>
    </row>
    <row r="1056" spans="2:6">
      <c r="B1056" s="12"/>
      <c r="C1056" s="12"/>
      <c r="D1056" s="13"/>
      <c r="E1056" s="13"/>
      <c r="F1056" s="18" t="s">
        <v>854</v>
      </c>
    </row>
    <row r="1057" spans="2:6">
      <c r="B1057" s="12"/>
      <c r="C1057" s="12"/>
      <c r="D1057" s="13"/>
      <c r="E1057" s="13"/>
      <c r="F1057" s="18" t="s">
        <v>855</v>
      </c>
    </row>
    <row r="1058" spans="2:6">
      <c r="B1058" s="12"/>
      <c r="C1058" s="12"/>
      <c r="D1058" s="13"/>
      <c r="E1058" s="13"/>
      <c r="F1058" s="18" t="s">
        <v>856</v>
      </c>
    </row>
    <row r="1059" spans="2:6">
      <c r="B1059" s="12"/>
      <c r="C1059" s="12"/>
      <c r="D1059" s="13"/>
      <c r="E1059" s="13"/>
      <c r="F1059" s="18" t="s">
        <v>857</v>
      </c>
    </row>
    <row r="1060" spans="2:6">
      <c r="B1060" s="12"/>
      <c r="C1060" s="12"/>
      <c r="D1060" s="13"/>
      <c r="E1060" s="13"/>
      <c r="F1060" s="18" t="s">
        <v>858</v>
      </c>
    </row>
    <row r="1061" spans="2:6">
      <c r="B1061" s="12"/>
      <c r="C1061" s="12"/>
      <c r="D1061" s="13"/>
      <c r="E1061" s="13"/>
      <c r="F1061" s="18" t="s">
        <v>859</v>
      </c>
    </row>
    <row r="1062" spans="2:6">
      <c r="B1062" s="12"/>
      <c r="C1062" s="12"/>
      <c r="D1062" s="13"/>
      <c r="E1062" s="13"/>
      <c r="F1062" s="18" t="s">
        <v>860</v>
      </c>
    </row>
    <row r="1063" spans="2:6">
      <c r="B1063" s="12"/>
      <c r="C1063" s="12"/>
      <c r="D1063" s="13"/>
      <c r="E1063" s="13"/>
      <c r="F1063" s="18" t="s">
        <v>861</v>
      </c>
    </row>
    <row r="1064" spans="2:6">
      <c r="B1064" s="12"/>
      <c r="C1064" s="12"/>
      <c r="D1064" s="13"/>
      <c r="E1064" s="13"/>
      <c r="F1064" s="18" t="s">
        <v>862</v>
      </c>
    </row>
    <row r="1065" spans="2:6">
      <c r="B1065" s="12"/>
      <c r="C1065" s="12"/>
      <c r="D1065" s="13"/>
      <c r="E1065" s="13"/>
      <c r="F1065" s="18" t="s">
        <v>863</v>
      </c>
    </row>
    <row r="1066" spans="2:6">
      <c r="B1066" s="12"/>
      <c r="C1066" s="12"/>
      <c r="D1066" s="13"/>
      <c r="E1066" s="13"/>
      <c r="F1066" s="18" t="s">
        <v>864</v>
      </c>
    </row>
    <row r="1067" spans="2:6">
      <c r="B1067" s="12"/>
      <c r="C1067" s="12"/>
      <c r="D1067" s="13"/>
      <c r="E1067" s="13"/>
      <c r="F1067" s="18" t="s">
        <v>865</v>
      </c>
    </row>
    <row r="1068" spans="2:6">
      <c r="B1068" s="12"/>
      <c r="C1068" s="12"/>
      <c r="D1068" s="13"/>
      <c r="E1068" s="13"/>
      <c r="F1068" s="18" t="s">
        <v>866</v>
      </c>
    </row>
    <row r="1069" spans="2:6">
      <c r="B1069" s="12"/>
      <c r="C1069" s="12"/>
      <c r="D1069" s="13"/>
      <c r="E1069" s="13"/>
      <c r="F1069" s="18" t="s">
        <v>867</v>
      </c>
    </row>
    <row r="1070" spans="2:6">
      <c r="B1070" s="12"/>
      <c r="C1070" s="12"/>
      <c r="D1070" s="13"/>
      <c r="E1070" s="13"/>
      <c r="F1070" s="18" t="s">
        <v>735</v>
      </c>
    </row>
    <row r="1071" spans="2:6">
      <c r="B1071" s="12"/>
      <c r="C1071" s="12"/>
      <c r="D1071" s="13"/>
      <c r="E1071" s="13"/>
      <c r="F1071" s="18" t="s">
        <v>868</v>
      </c>
    </row>
    <row r="1072" spans="2:6">
      <c r="B1072" s="12"/>
      <c r="C1072" s="12"/>
      <c r="D1072" s="13"/>
      <c r="E1072" s="13"/>
      <c r="F1072" s="18" t="s">
        <v>737</v>
      </c>
    </row>
    <row r="1073" spans="2:6">
      <c r="B1073" s="12"/>
      <c r="C1073" s="12"/>
      <c r="D1073" s="13"/>
      <c r="E1073" s="13"/>
      <c r="F1073" s="18" t="s">
        <v>738</v>
      </c>
    </row>
    <row r="1074" spans="2:6">
      <c r="B1074" s="12"/>
      <c r="C1074" s="12"/>
      <c r="D1074" s="13"/>
      <c r="E1074" s="13"/>
      <c r="F1074" s="18" t="s">
        <v>739</v>
      </c>
    </row>
    <row r="1075" spans="2:6">
      <c r="B1075" s="12"/>
      <c r="C1075" s="12"/>
      <c r="D1075" s="13"/>
      <c r="E1075" s="13"/>
      <c r="F1075" s="18" t="s">
        <v>740</v>
      </c>
    </row>
    <row r="1076" spans="2:6">
      <c r="B1076" s="12"/>
      <c r="C1076" s="12"/>
      <c r="D1076" s="13"/>
      <c r="E1076" s="13"/>
      <c r="F1076" s="18" t="s">
        <v>869</v>
      </c>
    </row>
    <row r="1077" spans="2:6">
      <c r="B1077" s="12"/>
      <c r="C1077" s="12"/>
      <c r="D1077" s="13"/>
      <c r="E1077" s="13"/>
      <c r="F1077" s="18" t="s">
        <v>742</v>
      </c>
    </row>
    <row r="1078" spans="2:6">
      <c r="B1078" s="12"/>
      <c r="C1078" s="12"/>
      <c r="D1078" s="13"/>
      <c r="E1078" s="13"/>
      <c r="F1078" s="18" t="s">
        <v>743</v>
      </c>
    </row>
    <row r="1079" spans="2:6">
      <c r="B1079" s="12"/>
      <c r="C1079" s="12"/>
      <c r="D1079" s="13"/>
      <c r="E1079" s="13"/>
      <c r="F1079" s="18" t="s">
        <v>744</v>
      </c>
    </row>
    <row r="1080" spans="2:6">
      <c r="B1080" s="12"/>
      <c r="C1080" s="12"/>
      <c r="D1080" s="13"/>
      <c r="E1080" s="13"/>
      <c r="F1080" s="18" t="s">
        <v>745</v>
      </c>
    </row>
    <row r="1081" spans="2:6">
      <c r="B1081" s="12"/>
      <c r="C1081" s="12"/>
      <c r="D1081" s="13"/>
      <c r="E1081" s="13"/>
      <c r="F1081" s="18" t="s">
        <v>746</v>
      </c>
    </row>
    <row r="1082" spans="2:6">
      <c r="B1082" s="12"/>
      <c r="C1082" s="12"/>
      <c r="D1082" s="13"/>
      <c r="E1082" s="13"/>
      <c r="F1082" s="18" t="s">
        <v>747</v>
      </c>
    </row>
    <row r="1083" spans="2:6">
      <c r="B1083" s="12"/>
      <c r="C1083" s="12"/>
      <c r="D1083" s="13"/>
      <c r="E1083" s="13"/>
      <c r="F1083" s="18" t="s">
        <v>884</v>
      </c>
    </row>
    <row r="1084" spans="2:6">
      <c r="B1084" s="12"/>
      <c r="C1084" s="12"/>
      <c r="D1084" s="13"/>
      <c r="E1084" s="13"/>
      <c r="F1084" s="18" t="s">
        <v>749</v>
      </c>
    </row>
    <row r="1085" spans="2:6">
      <c r="B1085" s="12"/>
      <c r="C1085" s="12"/>
      <c r="D1085" s="13"/>
      <c r="E1085" s="13"/>
      <c r="F1085" s="18" t="s">
        <v>750</v>
      </c>
    </row>
    <row r="1086" spans="2:6">
      <c r="B1086" s="12"/>
      <c r="C1086" s="12"/>
      <c r="D1086" s="13"/>
      <c r="E1086" s="13"/>
      <c r="F1086" s="18" t="s">
        <v>751</v>
      </c>
    </row>
    <row r="1087" spans="2:6">
      <c r="B1087" s="12"/>
      <c r="C1087" s="12"/>
      <c r="D1087" s="13"/>
      <c r="E1087" s="13"/>
      <c r="F1087" s="18" t="s">
        <v>752</v>
      </c>
    </row>
    <row r="1088" spans="2:6">
      <c r="B1088" s="12"/>
      <c r="C1088" s="12"/>
      <c r="D1088" s="13"/>
      <c r="E1088" s="13"/>
      <c r="F1088" s="18" t="s">
        <v>753</v>
      </c>
    </row>
    <row r="1089" spans="2:6">
      <c r="B1089" s="12"/>
      <c r="C1089" s="12"/>
      <c r="D1089" s="13"/>
      <c r="E1089" s="13"/>
      <c r="F1089" s="18" t="s">
        <v>754</v>
      </c>
    </row>
    <row r="1090" spans="2:6">
      <c r="B1090" s="12"/>
      <c r="C1090" s="12"/>
      <c r="D1090" s="13"/>
      <c r="E1090" s="13"/>
      <c r="F1090" s="18" t="s">
        <v>885</v>
      </c>
    </row>
    <row r="1091" spans="2:6">
      <c r="B1091" s="12"/>
      <c r="C1091" s="12"/>
      <c r="D1091" s="13"/>
      <c r="E1091" s="13"/>
      <c r="F1091" s="18" t="s">
        <v>872</v>
      </c>
    </row>
    <row r="1092" spans="2:6">
      <c r="B1092" s="12"/>
      <c r="C1092" s="12"/>
      <c r="D1092" s="13"/>
      <c r="E1092" s="13"/>
      <c r="F1092" s="18" t="s">
        <v>757</v>
      </c>
    </row>
    <row r="1093" spans="2:6">
      <c r="B1093" s="12"/>
      <c r="C1093" s="12"/>
      <c r="D1093" s="13"/>
      <c r="E1093" s="13"/>
      <c r="F1093" s="18" t="s">
        <v>758</v>
      </c>
    </row>
    <row r="1094" spans="2:6">
      <c r="B1094" s="12"/>
      <c r="C1094" s="12"/>
      <c r="D1094" s="13"/>
      <c r="E1094" s="13"/>
      <c r="F1094" s="18" t="s">
        <v>889</v>
      </c>
    </row>
    <row r="1095" spans="2:6">
      <c r="B1095" s="12"/>
      <c r="C1095" s="12"/>
      <c r="D1095" s="13"/>
      <c r="E1095" s="13"/>
      <c r="F1095" s="18" t="s">
        <v>759</v>
      </c>
    </row>
    <row r="1096" spans="2:6">
      <c r="B1096" s="12"/>
      <c r="C1096" s="12"/>
      <c r="D1096" s="13"/>
      <c r="E1096" s="13"/>
      <c r="F1096" s="18" t="s">
        <v>873</v>
      </c>
    </row>
    <row r="1097" spans="2:6">
      <c r="B1097" s="12"/>
      <c r="C1097" s="12"/>
      <c r="D1097" s="13"/>
      <c r="E1097" s="13"/>
      <c r="F1097" s="18" t="s">
        <v>874</v>
      </c>
    </row>
    <row r="1098" spans="2:6">
      <c r="B1098" s="12"/>
      <c r="C1098" s="12"/>
      <c r="D1098" s="13"/>
      <c r="E1098" s="13"/>
      <c r="F1098" s="18" t="s">
        <v>875</v>
      </c>
    </row>
    <row r="1099" spans="2:6">
      <c r="B1099" s="12"/>
      <c r="C1099" s="12"/>
      <c r="D1099" s="13"/>
      <c r="E1099" s="13"/>
      <c r="F1099" s="18" t="s">
        <v>762</v>
      </c>
    </row>
    <row r="1100" spans="2:6">
      <c r="B1100" s="12"/>
      <c r="C1100" s="12"/>
      <c r="D1100" s="13"/>
      <c r="E1100" s="13"/>
      <c r="F1100" s="18" t="s">
        <v>876</v>
      </c>
    </row>
    <row r="1101" spans="2:6">
      <c r="B1101" s="12"/>
      <c r="C1101" s="12"/>
      <c r="D1101" s="13"/>
      <c r="E1101" s="13"/>
      <c r="F1101" s="18" t="s">
        <v>764</v>
      </c>
    </row>
    <row r="1102" spans="2:6">
      <c r="B1102" s="12"/>
      <c r="C1102" s="12"/>
      <c r="D1102" s="13"/>
      <c r="E1102" s="13"/>
      <c r="F1102" s="18" t="s">
        <v>877</v>
      </c>
    </row>
    <row r="1103" spans="2:6">
      <c r="B1103" s="12"/>
      <c r="C1103" s="12"/>
      <c r="D1103" s="13"/>
      <c r="E1103" s="13"/>
      <c r="F1103" s="18" t="s">
        <v>878</v>
      </c>
    </row>
    <row r="1104" spans="2:6">
      <c r="B1104" s="12"/>
      <c r="C1104" s="12"/>
      <c r="D1104" s="13"/>
      <c r="E1104" s="13"/>
      <c r="F1104" s="18" t="s">
        <v>879</v>
      </c>
    </row>
    <row r="1105" spans="2:6">
      <c r="B1105" s="12"/>
      <c r="C1105" s="12"/>
      <c r="D1105" s="13"/>
      <c r="E1105" s="13"/>
      <c r="F1105" s="18" t="s">
        <v>880</v>
      </c>
    </row>
    <row r="1106" spans="2:6">
      <c r="B1106" s="12"/>
      <c r="C1106" s="12"/>
      <c r="D1106" s="13"/>
      <c r="E1106" s="13"/>
      <c r="F1106" s="18" t="s">
        <v>881</v>
      </c>
    </row>
    <row r="1107" spans="2:6">
      <c r="B1107" s="12"/>
      <c r="C1107" s="12"/>
      <c r="D1107" s="13"/>
      <c r="E1107" s="13"/>
      <c r="F1107" s="18" t="s">
        <v>587</v>
      </c>
    </row>
    <row r="1108" spans="2:6">
      <c r="B1108" s="12"/>
      <c r="C1108" s="12"/>
      <c r="D1108" s="13"/>
      <c r="E1108" s="13"/>
      <c r="F1108" s="18" t="s">
        <v>890</v>
      </c>
    </row>
    <row r="1109" spans="2:6">
      <c r="B1109" s="12"/>
      <c r="C1109" s="12"/>
      <c r="D1109" s="13"/>
      <c r="E1109" s="13"/>
      <c r="F1109" s="18" t="s">
        <v>883</v>
      </c>
    </row>
    <row r="1110" spans="2:6">
      <c r="B1110" s="12"/>
      <c r="C1110" s="12"/>
      <c r="D1110" s="13"/>
      <c r="E1110" s="13"/>
    </row>
    <row r="1111" spans="2:6">
      <c r="B1111" s="12"/>
      <c r="C1111" s="12"/>
      <c r="D1111" s="13"/>
      <c r="E1111" s="13" t="s">
        <v>891</v>
      </c>
      <c r="F1111" s="18" t="s">
        <v>837</v>
      </c>
    </row>
    <row r="1112" spans="2:6">
      <c r="B1112" s="12"/>
      <c r="C1112" s="12"/>
      <c r="D1112" s="13"/>
      <c r="E1112" s="13"/>
      <c r="F1112" s="18" t="s">
        <v>838</v>
      </c>
    </row>
    <row r="1113" spans="2:6">
      <c r="B1113" s="12"/>
      <c r="C1113" s="12"/>
      <c r="D1113" s="13"/>
      <c r="E1113" s="13"/>
      <c r="F1113" s="18" t="s">
        <v>839</v>
      </c>
    </row>
    <row r="1114" spans="2:6">
      <c r="B1114" s="12"/>
      <c r="C1114" s="12"/>
      <c r="D1114" s="13"/>
      <c r="E1114" s="13"/>
      <c r="F1114" s="18" t="s">
        <v>840</v>
      </c>
    </row>
    <row r="1115" spans="2:6">
      <c r="B1115" s="12"/>
      <c r="C1115" s="12"/>
      <c r="D1115" s="13"/>
      <c r="E1115" s="13"/>
      <c r="F1115" s="18" t="s">
        <v>841</v>
      </c>
    </row>
    <row r="1116" spans="2:6">
      <c r="B1116" s="12"/>
      <c r="C1116" s="12"/>
      <c r="D1116" s="13"/>
      <c r="E1116" s="13"/>
      <c r="F1116" s="18" t="s">
        <v>842</v>
      </c>
    </row>
    <row r="1117" spans="2:6">
      <c r="B1117" s="12"/>
      <c r="C1117" s="12"/>
      <c r="D1117" s="13"/>
      <c r="E1117" s="13"/>
      <c r="F1117" s="18" t="s">
        <v>843</v>
      </c>
    </row>
    <row r="1118" spans="2:6">
      <c r="B1118" s="12"/>
      <c r="C1118" s="12"/>
      <c r="D1118" s="13"/>
      <c r="E1118" s="13"/>
      <c r="F1118" s="18" t="s">
        <v>844</v>
      </c>
    </row>
    <row r="1119" spans="2:6">
      <c r="B1119" s="12"/>
      <c r="C1119" s="12"/>
      <c r="D1119" s="13"/>
      <c r="E1119" s="13"/>
      <c r="F1119" s="18" t="s">
        <v>845</v>
      </c>
    </row>
    <row r="1120" spans="2:6">
      <c r="B1120" s="12"/>
      <c r="C1120" s="12"/>
      <c r="D1120" s="13"/>
      <c r="E1120" s="13"/>
      <c r="F1120" s="18" t="s">
        <v>846</v>
      </c>
    </row>
    <row r="1121" spans="2:6">
      <c r="B1121" s="12"/>
      <c r="C1121" s="12"/>
      <c r="D1121" s="13"/>
      <c r="E1121" s="13"/>
      <c r="F1121" s="18" t="s">
        <v>847</v>
      </c>
    </row>
    <row r="1122" spans="2:6">
      <c r="B1122" s="12"/>
      <c r="C1122" s="12"/>
      <c r="D1122" s="13"/>
      <c r="E1122" s="13"/>
      <c r="F1122" s="18" t="s">
        <v>848</v>
      </c>
    </row>
    <row r="1123" spans="2:6">
      <c r="B1123" s="12"/>
      <c r="C1123" s="12"/>
      <c r="D1123" s="13"/>
      <c r="E1123" s="13"/>
      <c r="F1123" s="18" t="s">
        <v>849</v>
      </c>
    </row>
    <row r="1124" spans="2:6">
      <c r="B1124" s="12"/>
      <c r="C1124" s="12"/>
      <c r="D1124" s="13"/>
      <c r="E1124" s="13"/>
      <c r="F1124" s="18" t="s">
        <v>850</v>
      </c>
    </row>
    <row r="1125" spans="2:6">
      <c r="B1125" s="12"/>
      <c r="C1125" s="12"/>
      <c r="D1125" s="13"/>
      <c r="E1125" s="13"/>
      <c r="F1125" s="18" t="s">
        <v>851</v>
      </c>
    </row>
    <row r="1126" spans="2:6">
      <c r="B1126" s="12"/>
      <c r="C1126" s="12"/>
      <c r="D1126" s="13"/>
      <c r="E1126" s="13"/>
      <c r="F1126" s="18" t="s">
        <v>852</v>
      </c>
    </row>
    <row r="1127" spans="2:6">
      <c r="B1127" s="12"/>
      <c r="C1127" s="12"/>
      <c r="D1127" s="13"/>
      <c r="E1127" s="13"/>
      <c r="F1127" s="18" t="s">
        <v>853</v>
      </c>
    </row>
    <row r="1128" spans="2:6">
      <c r="B1128" s="12"/>
      <c r="C1128" s="12"/>
      <c r="D1128" s="13"/>
      <c r="E1128" s="13"/>
      <c r="F1128" s="18" t="s">
        <v>854</v>
      </c>
    </row>
    <row r="1129" spans="2:6">
      <c r="B1129" s="12"/>
      <c r="C1129" s="12"/>
      <c r="D1129" s="13"/>
      <c r="E1129" s="13"/>
      <c r="F1129" s="18" t="s">
        <v>855</v>
      </c>
    </row>
    <row r="1130" spans="2:6">
      <c r="B1130" s="12"/>
      <c r="C1130" s="12"/>
      <c r="D1130" s="13"/>
      <c r="E1130" s="13"/>
      <c r="F1130" s="18" t="s">
        <v>856</v>
      </c>
    </row>
    <row r="1131" spans="2:6">
      <c r="B1131" s="12"/>
      <c r="C1131" s="12"/>
      <c r="D1131" s="13"/>
      <c r="E1131" s="13"/>
      <c r="F1131" s="18" t="s">
        <v>857</v>
      </c>
    </row>
    <row r="1132" spans="2:6">
      <c r="B1132" s="12"/>
      <c r="C1132" s="12"/>
      <c r="D1132" s="13"/>
      <c r="E1132" s="13"/>
      <c r="F1132" s="18" t="s">
        <v>858</v>
      </c>
    </row>
    <row r="1133" spans="2:6">
      <c r="B1133" s="12"/>
      <c r="C1133" s="12"/>
      <c r="D1133" s="13"/>
      <c r="E1133" s="13"/>
      <c r="F1133" s="18" t="s">
        <v>859</v>
      </c>
    </row>
    <row r="1134" spans="2:6">
      <c r="B1134" s="12"/>
      <c r="C1134" s="12"/>
      <c r="D1134" s="13"/>
      <c r="E1134" s="13"/>
      <c r="F1134" s="18" t="s">
        <v>860</v>
      </c>
    </row>
    <row r="1135" spans="2:6">
      <c r="B1135" s="12"/>
      <c r="C1135" s="12"/>
      <c r="D1135" s="13"/>
      <c r="E1135" s="13"/>
      <c r="F1135" s="18" t="s">
        <v>861</v>
      </c>
    </row>
    <row r="1136" spans="2:6">
      <c r="B1136" s="12"/>
      <c r="C1136" s="12"/>
      <c r="D1136" s="13"/>
      <c r="E1136" s="13"/>
      <c r="F1136" s="18" t="s">
        <v>862</v>
      </c>
    </row>
    <row r="1137" spans="2:6">
      <c r="B1137" s="12"/>
      <c r="C1137" s="12"/>
      <c r="D1137" s="13"/>
      <c r="E1137" s="13"/>
      <c r="F1137" s="18" t="s">
        <v>863</v>
      </c>
    </row>
    <row r="1138" spans="2:6">
      <c r="B1138" s="12"/>
      <c r="C1138" s="12"/>
      <c r="D1138" s="13"/>
      <c r="E1138" s="13"/>
      <c r="F1138" s="18" t="s">
        <v>864</v>
      </c>
    </row>
    <row r="1139" spans="2:6">
      <c r="B1139" s="12"/>
      <c r="C1139" s="12"/>
      <c r="D1139" s="13"/>
      <c r="E1139" s="13"/>
      <c r="F1139" s="18" t="s">
        <v>865</v>
      </c>
    </row>
    <row r="1140" spans="2:6">
      <c r="B1140" s="12"/>
      <c r="C1140" s="12"/>
      <c r="D1140" s="13"/>
      <c r="E1140" s="13"/>
      <c r="F1140" s="18" t="s">
        <v>866</v>
      </c>
    </row>
    <row r="1141" spans="2:6">
      <c r="B1141" s="12"/>
      <c r="C1141" s="12"/>
      <c r="D1141" s="13"/>
      <c r="E1141" s="13"/>
      <c r="F1141" s="18" t="s">
        <v>867</v>
      </c>
    </row>
    <row r="1142" spans="2:6">
      <c r="B1142" s="12"/>
      <c r="C1142" s="12"/>
      <c r="D1142" s="13"/>
      <c r="E1142" s="13"/>
      <c r="F1142" s="18" t="s">
        <v>735</v>
      </c>
    </row>
    <row r="1143" spans="2:6">
      <c r="B1143" s="12"/>
      <c r="C1143" s="12"/>
      <c r="D1143" s="13"/>
      <c r="E1143" s="13"/>
      <c r="F1143" s="18" t="s">
        <v>868</v>
      </c>
    </row>
    <row r="1144" spans="2:6">
      <c r="B1144" s="12"/>
      <c r="C1144" s="12"/>
      <c r="D1144" s="13"/>
      <c r="E1144" s="13"/>
      <c r="F1144" s="18" t="s">
        <v>737</v>
      </c>
    </row>
    <row r="1145" spans="2:6">
      <c r="B1145" s="12"/>
      <c r="C1145" s="12"/>
      <c r="D1145" s="13"/>
      <c r="E1145" s="13"/>
      <c r="F1145" s="18" t="s">
        <v>738</v>
      </c>
    </row>
    <row r="1146" spans="2:6">
      <c r="B1146" s="12"/>
      <c r="C1146" s="12"/>
      <c r="D1146" s="13"/>
      <c r="E1146" s="13"/>
      <c r="F1146" s="18" t="s">
        <v>739</v>
      </c>
    </row>
    <row r="1147" spans="2:6">
      <c r="B1147" s="12"/>
      <c r="C1147" s="12"/>
      <c r="D1147" s="13"/>
      <c r="E1147" s="13"/>
      <c r="F1147" s="18" t="s">
        <v>740</v>
      </c>
    </row>
    <row r="1148" spans="2:6">
      <c r="B1148" s="12"/>
      <c r="C1148" s="12"/>
      <c r="D1148" s="13"/>
      <c r="E1148" s="13"/>
      <c r="F1148" s="18" t="s">
        <v>869</v>
      </c>
    </row>
    <row r="1149" spans="2:6">
      <c r="B1149" s="12"/>
      <c r="C1149" s="12"/>
      <c r="D1149" s="13"/>
      <c r="E1149" s="13"/>
      <c r="F1149" s="18" t="s">
        <v>742</v>
      </c>
    </row>
    <row r="1150" spans="2:6">
      <c r="B1150" s="12"/>
      <c r="C1150" s="12"/>
      <c r="D1150" s="13"/>
      <c r="E1150" s="13"/>
      <c r="F1150" s="18" t="s">
        <v>743</v>
      </c>
    </row>
    <row r="1151" spans="2:6">
      <c r="B1151" s="12"/>
      <c r="C1151" s="12"/>
      <c r="D1151" s="13"/>
      <c r="E1151" s="13"/>
      <c r="F1151" s="18" t="s">
        <v>744</v>
      </c>
    </row>
    <row r="1152" spans="2:6">
      <c r="B1152" s="12"/>
      <c r="C1152" s="12"/>
      <c r="D1152" s="13"/>
      <c r="E1152" s="13"/>
      <c r="F1152" s="18" t="s">
        <v>745</v>
      </c>
    </row>
    <row r="1153" spans="2:6">
      <c r="B1153" s="12"/>
      <c r="C1153" s="12"/>
      <c r="D1153" s="13"/>
      <c r="E1153" s="13"/>
      <c r="F1153" s="18" t="s">
        <v>746</v>
      </c>
    </row>
    <row r="1154" spans="2:6">
      <c r="B1154" s="12"/>
      <c r="C1154" s="12"/>
      <c r="D1154" s="13"/>
      <c r="E1154" s="13"/>
      <c r="F1154" s="18" t="s">
        <v>747</v>
      </c>
    </row>
    <row r="1155" spans="2:6">
      <c r="B1155" s="12"/>
      <c r="C1155" s="12"/>
      <c r="D1155" s="13"/>
      <c r="E1155" s="13"/>
      <c r="F1155" s="18" t="s">
        <v>884</v>
      </c>
    </row>
    <row r="1156" spans="2:6">
      <c r="B1156" s="12"/>
      <c r="C1156" s="12"/>
      <c r="D1156" s="13"/>
      <c r="E1156" s="13"/>
      <c r="F1156" s="18" t="s">
        <v>749</v>
      </c>
    </row>
    <row r="1157" spans="2:6">
      <c r="B1157" s="12"/>
      <c r="C1157" s="12"/>
      <c r="D1157" s="13"/>
      <c r="E1157" s="13"/>
      <c r="F1157" s="18" t="s">
        <v>750</v>
      </c>
    </row>
    <row r="1158" spans="2:6">
      <c r="B1158" s="12"/>
      <c r="C1158" s="12"/>
      <c r="D1158" s="13"/>
      <c r="E1158" s="13"/>
      <c r="F1158" s="18" t="s">
        <v>751</v>
      </c>
    </row>
    <row r="1159" spans="2:6">
      <c r="B1159" s="12"/>
      <c r="C1159" s="12"/>
      <c r="D1159" s="13"/>
      <c r="E1159" s="13"/>
      <c r="F1159" s="18" t="s">
        <v>752</v>
      </c>
    </row>
    <row r="1160" spans="2:6">
      <c r="B1160" s="12"/>
      <c r="C1160" s="12"/>
      <c r="D1160" s="13"/>
      <c r="E1160" s="13"/>
      <c r="F1160" s="18" t="s">
        <v>753</v>
      </c>
    </row>
    <row r="1161" spans="2:6">
      <c r="B1161" s="12"/>
      <c r="C1161" s="12"/>
      <c r="D1161" s="13"/>
      <c r="E1161" s="13"/>
      <c r="F1161" s="18" t="s">
        <v>754</v>
      </c>
    </row>
    <row r="1162" spans="2:6">
      <c r="B1162" s="12"/>
      <c r="C1162" s="12"/>
      <c r="D1162" s="13"/>
      <c r="E1162" s="13"/>
      <c r="F1162" s="18" t="s">
        <v>885</v>
      </c>
    </row>
    <row r="1163" spans="2:6">
      <c r="B1163" s="12"/>
      <c r="C1163" s="12"/>
      <c r="D1163" s="13"/>
      <c r="E1163" s="13"/>
      <c r="F1163" s="18" t="s">
        <v>872</v>
      </c>
    </row>
    <row r="1164" spans="2:6">
      <c r="B1164" s="12"/>
      <c r="C1164" s="12"/>
      <c r="D1164" s="13"/>
      <c r="E1164" s="13"/>
      <c r="F1164" s="18" t="s">
        <v>757</v>
      </c>
    </row>
    <row r="1165" spans="2:6">
      <c r="B1165" s="12"/>
      <c r="C1165" s="12"/>
      <c r="D1165" s="13"/>
      <c r="E1165" s="13"/>
      <c r="F1165" s="18" t="s">
        <v>758</v>
      </c>
    </row>
    <row r="1166" spans="2:6">
      <c r="B1166" s="12"/>
      <c r="C1166" s="12"/>
      <c r="D1166" s="13"/>
      <c r="E1166" s="13"/>
      <c r="F1166" s="18" t="s">
        <v>889</v>
      </c>
    </row>
    <row r="1167" spans="2:6">
      <c r="B1167" s="12"/>
      <c r="C1167" s="12"/>
      <c r="D1167" s="13"/>
      <c r="E1167" s="13"/>
      <c r="F1167" s="18" t="s">
        <v>759</v>
      </c>
    </row>
    <row r="1168" spans="2:6">
      <c r="B1168" s="12"/>
      <c r="C1168" s="12"/>
      <c r="D1168" s="13"/>
      <c r="E1168" s="13"/>
      <c r="F1168" s="18" t="s">
        <v>873</v>
      </c>
    </row>
    <row r="1169" spans="2:6">
      <c r="B1169" s="12"/>
      <c r="C1169" s="12"/>
      <c r="D1169" s="13"/>
      <c r="E1169" s="13"/>
      <c r="F1169" s="18" t="s">
        <v>874</v>
      </c>
    </row>
    <row r="1170" spans="2:6">
      <c r="B1170" s="12"/>
      <c r="C1170" s="12"/>
      <c r="D1170" s="13"/>
      <c r="E1170" s="13"/>
      <c r="F1170" s="18" t="s">
        <v>875</v>
      </c>
    </row>
    <row r="1171" spans="2:6">
      <c r="B1171" s="12"/>
      <c r="C1171" s="12"/>
      <c r="D1171" s="13"/>
      <c r="E1171" s="13"/>
      <c r="F1171" s="18" t="s">
        <v>762</v>
      </c>
    </row>
    <row r="1172" spans="2:6">
      <c r="B1172" s="12"/>
      <c r="C1172" s="12"/>
      <c r="D1172" s="13"/>
      <c r="E1172" s="13"/>
      <c r="F1172" s="18" t="s">
        <v>876</v>
      </c>
    </row>
    <row r="1173" spans="2:6">
      <c r="B1173" s="12"/>
      <c r="C1173" s="12"/>
      <c r="D1173" s="13"/>
      <c r="E1173" s="13"/>
      <c r="F1173" s="18" t="s">
        <v>764</v>
      </c>
    </row>
    <row r="1174" spans="2:6">
      <c r="B1174" s="12"/>
      <c r="C1174" s="12"/>
      <c r="D1174" s="13"/>
      <c r="E1174" s="13"/>
      <c r="F1174" s="18" t="s">
        <v>877</v>
      </c>
    </row>
    <row r="1175" spans="2:6">
      <c r="B1175" s="12"/>
      <c r="C1175" s="12"/>
      <c r="D1175" s="13"/>
      <c r="E1175" s="13"/>
      <c r="F1175" s="18" t="s">
        <v>878</v>
      </c>
    </row>
    <row r="1176" spans="2:6">
      <c r="B1176" s="12"/>
      <c r="C1176" s="12"/>
      <c r="D1176" s="13"/>
      <c r="E1176" s="13"/>
      <c r="F1176" s="18" t="s">
        <v>879</v>
      </c>
    </row>
    <row r="1177" spans="2:6">
      <c r="B1177" s="12"/>
      <c r="C1177" s="12"/>
      <c r="D1177" s="13"/>
      <c r="E1177" s="13"/>
      <c r="F1177" s="18" t="s">
        <v>880</v>
      </c>
    </row>
    <row r="1178" spans="2:6">
      <c r="B1178" s="12"/>
      <c r="C1178" s="12"/>
      <c r="D1178" s="13"/>
      <c r="E1178" s="13"/>
      <c r="F1178" s="18" t="s">
        <v>881</v>
      </c>
    </row>
    <row r="1179" spans="2:6">
      <c r="B1179" s="12"/>
      <c r="C1179" s="12"/>
      <c r="D1179" s="13"/>
      <c r="E1179" s="13"/>
      <c r="F1179" s="18" t="s">
        <v>587</v>
      </c>
    </row>
    <row r="1180" spans="2:6">
      <c r="B1180" s="12"/>
      <c r="C1180" s="12"/>
      <c r="D1180" s="13"/>
      <c r="E1180" s="13"/>
      <c r="F1180" s="18" t="s">
        <v>892</v>
      </c>
    </row>
    <row r="1181" spans="2:6">
      <c r="B1181" s="12"/>
      <c r="C1181" s="12"/>
      <c r="D1181" s="13"/>
      <c r="E1181" s="13"/>
      <c r="F1181" s="18" t="s">
        <v>883</v>
      </c>
    </row>
    <row r="1182" spans="2:6">
      <c r="B1182" s="12"/>
      <c r="C1182" s="12"/>
      <c r="D1182" s="13"/>
      <c r="E1182" s="13"/>
    </row>
    <row r="1183" spans="2:6">
      <c r="B1183" s="12"/>
      <c r="C1183" s="12"/>
      <c r="D1183" s="13"/>
      <c r="E1183" s="13" t="s">
        <v>893</v>
      </c>
      <c r="F1183" s="18" t="s">
        <v>837</v>
      </c>
    </row>
    <row r="1184" spans="2:6">
      <c r="B1184" s="12"/>
      <c r="C1184" s="12"/>
      <c r="D1184" s="13"/>
      <c r="E1184" s="13"/>
      <c r="F1184" s="18" t="s">
        <v>838</v>
      </c>
    </row>
    <row r="1185" spans="2:6">
      <c r="B1185" s="12"/>
      <c r="C1185" s="12"/>
      <c r="D1185" s="13"/>
      <c r="E1185" s="13"/>
      <c r="F1185" s="18" t="s">
        <v>839</v>
      </c>
    </row>
    <row r="1186" spans="2:6">
      <c r="B1186" s="12"/>
      <c r="C1186" s="12"/>
      <c r="D1186" s="13"/>
      <c r="E1186" s="13"/>
      <c r="F1186" s="18" t="s">
        <v>840</v>
      </c>
    </row>
    <row r="1187" spans="2:6">
      <c r="B1187" s="12"/>
      <c r="C1187" s="12"/>
      <c r="D1187" s="13"/>
      <c r="E1187" s="13"/>
      <c r="F1187" s="18" t="s">
        <v>841</v>
      </c>
    </row>
    <row r="1188" spans="2:6">
      <c r="B1188" s="12"/>
      <c r="C1188" s="12"/>
      <c r="D1188" s="13"/>
      <c r="E1188" s="13"/>
      <c r="F1188" s="18" t="s">
        <v>842</v>
      </c>
    </row>
    <row r="1189" spans="2:6">
      <c r="B1189" s="12"/>
      <c r="C1189" s="12"/>
      <c r="D1189" s="13"/>
      <c r="E1189" s="13"/>
      <c r="F1189" s="18" t="s">
        <v>843</v>
      </c>
    </row>
    <row r="1190" spans="2:6">
      <c r="B1190" s="12"/>
      <c r="C1190" s="12"/>
      <c r="D1190" s="13"/>
      <c r="E1190" s="13"/>
      <c r="F1190" s="18" t="s">
        <v>844</v>
      </c>
    </row>
    <row r="1191" spans="2:6">
      <c r="B1191" s="12"/>
      <c r="C1191" s="12"/>
      <c r="D1191" s="13"/>
      <c r="E1191" s="13"/>
      <c r="F1191" s="18" t="s">
        <v>845</v>
      </c>
    </row>
    <row r="1192" spans="2:6">
      <c r="B1192" s="12"/>
      <c r="C1192" s="12"/>
      <c r="D1192" s="13"/>
      <c r="E1192" s="13"/>
      <c r="F1192" s="18" t="s">
        <v>846</v>
      </c>
    </row>
    <row r="1193" spans="2:6">
      <c r="B1193" s="12"/>
      <c r="C1193" s="12"/>
      <c r="D1193" s="13"/>
      <c r="E1193" s="13"/>
      <c r="F1193" s="18" t="s">
        <v>847</v>
      </c>
    </row>
    <row r="1194" spans="2:6">
      <c r="B1194" s="12"/>
      <c r="C1194" s="12"/>
      <c r="D1194" s="13"/>
      <c r="E1194" s="13"/>
      <c r="F1194" s="18" t="s">
        <v>848</v>
      </c>
    </row>
    <row r="1195" spans="2:6">
      <c r="B1195" s="12"/>
      <c r="C1195" s="12"/>
      <c r="D1195" s="13"/>
      <c r="E1195" s="13"/>
      <c r="F1195" s="18" t="s">
        <v>849</v>
      </c>
    </row>
    <row r="1196" spans="2:6">
      <c r="B1196" s="12"/>
      <c r="C1196" s="12"/>
      <c r="D1196" s="13"/>
      <c r="E1196" s="13"/>
      <c r="F1196" s="18" t="s">
        <v>850</v>
      </c>
    </row>
    <row r="1197" spans="2:6">
      <c r="B1197" s="12"/>
      <c r="C1197" s="12"/>
      <c r="D1197" s="13"/>
      <c r="E1197" s="13"/>
      <c r="F1197" s="18" t="s">
        <v>851</v>
      </c>
    </row>
    <row r="1198" spans="2:6">
      <c r="B1198" s="12"/>
      <c r="C1198" s="12"/>
      <c r="D1198" s="13"/>
      <c r="E1198" s="13"/>
      <c r="F1198" s="18" t="s">
        <v>852</v>
      </c>
    </row>
    <row r="1199" spans="2:6">
      <c r="B1199" s="12"/>
      <c r="C1199" s="12"/>
      <c r="D1199" s="13"/>
      <c r="E1199" s="13"/>
      <c r="F1199" s="18" t="s">
        <v>853</v>
      </c>
    </row>
    <row r="1200" spans="2:6">
      <c r="B1200" s="12"/>
      <c r="C1200" s="12"/>
      <c r="D1200" s="13"/>
      <c r="E1200" s="13"/>
      <c r="F1200" s="18" t="s">
        <v>854</v>
      </c>
    </row>
    <row r="1201" spans="2:6">
      <c r="B1201" s="12"/>
      <c r="C1201" s="12"/>
      <c r="D1201" s="13"/>
      <c r="E1201" s="13"/>
      <c r="F1201" s="18" t="s">
        <v>855</v>
      </c>
    </row>
    <row r="1202" spans="2:6">
      <c r="B1202" s="12"/>
      <c r="C1202" s="12"/>
      <c r="D1202" s="13"/>
      <c r="E1202" s="13"/>
      <c r="F1202" s="18" t="s">
        <v>856</v>
      </c>
    </row>
    <row r="1203" spans="2:6">
      <c r="B1203" s="12"/>
      <c r="C1203" s="12"/>
      <c r="D1203" s="13"/>
      <c r="E1203" s="13"/>
      <c r="F1203" s="18" t="s">
        <v>857</v>
      </c>
    </row>
    <row r="1204" spans="2:6">
      <c r="B1204" s="12"/>
      <c r="C1204" s="12"/>
      <c r="D1204" s="13"/>
      <c r="E1204" s="13"/>
      <c r="F1204" s="18" t="s">
        <v>858</v>
      </c>
    </row>
    <row r="1205" spans="2:6">
      <c r="B1205" s="12"/>
      <c r="C1205" s="12"/>
      <c r="D1205" s="13"/>
      <c r="E1205" s="13"/>
      <c r="F1205" s="18" t="s">
        <v>859</v>
      </c>
    </row>
    <row r="1206" spans="2:6">
      <c r="B1206" s="12"/>
      <c r="C1206" s="12"/>
      <c r="D1206" s="13"/>
      <c r="E1206" s="13"/>
      <c r="F1206" s="18" t="s">
        <v>860</v>
      </c>
    </row>
    <row r="1207" spans="2:6">
      <c r="B1207" s="12"/>
      <c r="C1207" s="12"/>
      <c r="D1207" s="13"/>
      <c r="E1207" s="13"/>
      <c r="F1207" s="18" t="s">
        <v>861</v>
      </c>
    </row>
    <row r="1208" spans="2:6">
      <c r="B1208" s="12"/>
      <c r="C1208" s="12"/>
      <c r="D1208" s="13"/>
      <c r="E1208" s="13"/>
      <c r="F1208" s="18" t="s">
        <v>862</v>
      </c>
    </row>
    <row r="1209" spans="2:6">
      <c r="B1209" s="12"/>
      <c r="C1209" s="12"/>
      <c r="D1209" s="13"/>
      <c r="E1209" s="13"/>
      <c r="F1209" s="18" t="s">
        <v>863</v>
      </c>
    </row>
    <row r="1210" spans="2:6">
      <c r="B1210" s="12"/>
      <c r="C1210" s="12"/>
      <c r="D1210" s="13"/>
      <c r="E1210" s="13"/>
      <c r="F1210" s="18" t="s">
        <v>864</v>
      </c>
    </row>
    <row r="1211" spans="2:6">
      <c r="B1211" s="12"/>
      <c r="C1211" s="12"/>
      <c r="D1211" s="13"/>
      <c r="E1211" s="13"/>
      <c r="F1211" s="18" t="s">
        <v>865</v>
      </c>
    </row>
    <row r="1212" spans="2:6">
      <c r="B1212" s="12"/>
      <c r="C1212" s="12"/>
      <c r="D1212" s="13"/>
      <c r="E1212" s="13"/>
      <c r="F1212" s="18" t="s">
        <v>866</v>
      </c>
    </row>
    <row r="1213" spans="2:6">
      <c r="B1213" s="12"/>
      <c r="C1213" s="12"/>
      <c r="D1213" s="13"/>
      <c r="E1213" s="13"/>
      <c r="F1213" s="18" t="s">
        <v>867</v>
      </c>
    </row>
    <row r="1214" spans="2:6">
      <c r="B1214" s="12"/>
      <c r="C1214" s="12"/>
      <c r="D1214" s="13"/>
      <c r="E1214" s="13"/>
      <c r="F1214" s="18" t="s">
        <v>735</v>
      </c>
    </row>
    <row r="1215" spans="2:6">
      <c r="B1215" s="12"/>
      <c r="C1215" s="12"/>
      <c r="D1215" s="13"/>
      <c r="E1215" s="13"/>
      <c r="F1215" s="18" t="s">
        <v>868</v>
      </c>
    </row>
    <row r="1216" spans="2:6">
      <c r="B1216" s="12"/>
      <c r="C1216" s="12"/>
      <c r="D1216" s="13"/>
      <c r="E1216" s="13"/>
      <c r="F1216" s="18" t="s">
        <v>737</v>
      </c>
    </row>
    <row r="1217" spans="2:6">
      <c r="B1217" s="12"/>
      <c r="C1217" s="12"/>
      <c r="D1217" s="13"/>
      <c r="E1217" s="13"/>
      <c r="F1217" s="18" t="s">
        <v>738</v>
      </c>
    </row>
    <row r="1218" spans="2:6">
      <c r="B1218" s="12"/>
      <c r="C1218" s="12"/>
      <c r="D1218" s="13"/>
      <c r="E1218" s="13"/>
      <c r="F1218" s="18" t="s">
        <v>739</v>
      </c>
    </row>
    <row r="1219" spans="2:6">
      <c r="B1219" s="12"/>
      <c r="C1219" s="12"/>
      <c r="D1219" s="13"/>
      <c r="E1219" s="13"/>
      <c r="F1219" s="18" t="s">
        <v>740</v>
      </c>
    </row>
    <row r="1220" spans="2:6">
      <c r="B1220" s="12"/>
      <c r="C1220" s="12"/>
      <c r="D1220" s="13"/>
      <c r="E1220" s="13"/>
      <c r="F1220" s="18" t="s">
        <v>869</v>
      </c>
    </row>
    <row r="1221" spans="2:6">
      <c r="B1221" s="12"/>
      <c r="C1221" s="12"/>
      <c r="D1221" s="13"/>
      <c r="E1221" s="13"/>
      <c r="F1221" s="18" t="s">
        <v>742</v>
      </c>
    </row>
    <row r="1222" spans="2:6">
      <c r="B1222" s="12"/>
      <c r="C1222" s="12"/>
      <c r="D1222" s="13"/>
      <c r="E1222" s="13"/>
      <c r="F1222" s="18" t="s">
        <v>743</v>
      </c>
    </row>
    <row r="1223" spans="2:6">
      <c r="B1223" s="12"/>
      <c r="C1223" s="12"/>
      <c r="D1223" s="13"/>
      <c r="E1223" s="13"/>
      <c r="F1223" s="18" t="s">
        <v>744</v>
      </c>
    </row>
    <row r="1224" spans="2:6">
      <c r="B1224" s="12"/>
      <c r="C1224" s="12"/>
      <c r="D1224" s="13"/>
      <c r="E1224" s="13"/>
      <c r="F1224" s="18" t="s">
        <v>745</v>
      </c>
    </row>
    <row r="1225" spans="2:6">
      <c r="B1225" s="12"/>
      <c r="C1225" s="12"/>
      <c r="D1225" s="13"/>
      <c r="E1225" s="13"/>
      <c r="F1225" s="18" t="s">
        <v>746</v>
      </c>
    </row>
    <row r="1226" spans="2:6">
      <c r="B1226" s="12"/>
      <c r="C1226" s="12"/>
      <c r="D1226" s="13"/>
      <c r="E1226" s="13"/>
      <c r="F1226" s="18" t="s">
        <v>747</v>
      </c>
    </row>
    <row r="1227" spans="2:6">
      <c r="B1227" s="12"/>
      <c r="C1227" s="12"/>
      <c r="D1227" s="13"/>
      <c r="E1227" s="13"/>
      <c r="F1227" s="18" t="s">
        <v>884</v>
      </c>
    </row>
    <row r="1228" spans="2:6">
      <c r="B1228" s="12"/>
      <c r="C1228" s="12"/>
      <c r="D1228" s="13"/>
      <c r="E1228" s="13"/>
      <c r="F1228" s="18" t="s">
        <v>749</v>
      </c>
    </row>
    <row r="1229" spans="2:6">
      <c r="B1229" s="12"/>
      <c r="C1229" s="12"/>
      <c r="D1229" s="13"/>
      <c r="E1229" s="13"/>
      <c r="F1229" s="18" t="s">
        <v>750</v>
      </c>
    </row>
    <row r="1230" spans="2:6">
      <c r="B1230" s="12"/>
      <c r="C1230" s="12"/>
      <c r="D1230" s="13"/>
      <c r="E1230" s="13"/>
      <c r="F1230" s="18" t="s">
        <v>751</v>
      </c>
    </row>
    <row r="1231" spans="2:6">
      <c r="B1231" s="12"/>
      <c r="C1231" s="12"/>
      <c r="D1231" s="13"/>
      <c r="E1231" s="13"/>
      <c r="F1231" s="18" t="s">
        <v>752</v>
      </c>
    </row>
    <row r="1232" spans="2:6">
      <c r="B1232" s="12"/>
      <c r="C1232" s="12"/>
      <c r="D1232" s="13"/>
      <c r="E1232" s="13"/>
      <c r="F1232" s="18" t="s">
        <v>753</v>
      </c>
    </row>
    <row r="1233" spans="2:6">
      <c r="B1233" s="12"/>
      <c r="C1233" s="12"/>
      <c r="D1233" s="13"/>
      <c r="E1233" s="13"/>
      <c r="F1233" s="18" t="s">
        <v>754</v>
      </c>
    </row>
    <row r="1234" spans="2:6">
      <c r="B1234" s="12"/>
      <c r="C1234" s="12"/>
      <c r="D1234" s="13"/>
      <c r="E1234" s="13"/>
      <c r="F1234" s="18" t="s">
        <v>885</v>
      </c>
    </row>
    <row r="1235" spans="2:6">
      <c r="B1235" s="12"/>
      <c r="C1235" s="12"/>
      <c r="D1235" s="13"/>
      <c r="E1235" s="13"/>
      <c r="F1235" s="18" t="s">
        <v>872</v>
      </c>
    </row>
    <row r="1236" spans="2:6">
      <c r="B1236" s="12"/>
      <c r="C1236" s="12"/>
      <c r="D1236" s="13"/>
      <c r="E1236" s="13"/>
      <c r="F1236" s="18" t="s">
        <v>757</v>
      </c>
    </row>
    <row r="1237" spans="2:6">
      <c r="B1237" s="12"/>
      <c r="C1237" s="12"/>
      <c r="D1237" s="13"/>
      <c r="E1237" s="13"/>
      <c r="F1237" s="18" t="s">
        <v>758</v>
      </c>
    </row>
    <row r="1238" spans="2:6">
      <c r="B1238" s="12"/>
      <c r="C1238" s="12"/>
      <c r="D1238" s="13"/>
      <c r="E1238" s="13"/>
      <c r="F1238" s="18" t="s">
        <v>889</v>
      </c>
    </row>
    <row r="1239" spans="2:6">
      <c r="B1239" s="12"/>
      <c r="C1239" s="12"/>
      <c r="D1239" s="13"/>
      <c r="E1239" s="13"/>
      <c r="F1239" s="18" t="s">
        <v>759</v>
      </c>
    </row>
    <row r="1240" spans="2:6">
      <c r="B1240" s="12"/>
      <c r="C1240" s="12"/>
      <c r="D1240" s="13"/>
      <c r="E1240" s="13"/>
      <c r="F1240" s="18" t="s">
        <v>873</v>
      </c>
    </row>
    <row r="1241" spans="2:6">
      <c r="B1241" s="12"/>
      <c r="C1241" s="12"/>
      <c r="D1241" s="13"/>
      <c r="E1241" s="13"/>
      <c r="F1241" s="18" t="s">
        <v>874</v>
      </c>
    </row>
    <row r="1242" spans="2:6">
      <c r="B1242" s="12"/>
      <c r="C1242" s="12"/>
      <c r="D1242" s="13"/>
      <c r="E1242" s="13"/>
      <c r="F1242" s="18" t="s">
        <v>875</v>
      </c>
    </row>
    <row r="1243" spans="2:6">
      <c r="B1243" s="12"/>
      <c r="C1243" s="12"/>
      <c r="D1243" s="13"/>
      <c r="E1243" s="13"/>
      <c r="F1243" s="18" t="s">
        <v>762</v>
      </c>
    </row>
    <row r="1244" spans="2:6">
      <c r="B1244" s="12"/>
      <c r="C1244" s="12"/>
      <c r="D1244" s="13"/>
      <c r="E1244" s="13"/>
      <c r="F1244" s="18" t="s">
        <v>876</v>
      </c>
    </row>
    <row r="1245" spans="2:6">
      <c r="B1245" s="12"/>
      <c r="C1245" s="12"/>
      <c r="D1245" s="13"/>
      <c r="E1245" s="13"/>
      <c r="F1245" s="18" t="s">
        <v>764</v>
      </c>
    </row>
    <row r="1246" spans="2:6">
      <c r="B1246" s="12"/>
      <c r="C1246" s="12"/>
      <c r="D1246" s="13"/>
      <c r="E1246" s="13"/>
      <c r="F1246" s="18" t="s">
        <v>877</v>
      </c>
    </row>
    <row r="1247" spans="2:6">
      <c r="B1247" s="12"/>
      <c r="C1247" s="12"/>
      <c r="D1247" s="13"/>
      <c r="E1247" s="13"/>
      <c r="F1247" s="18" t="s">
        <v>878</v>
      </c>
    </row>
    <row r="1248" spans="2:6">
      <c r="B1248" s="12"/>
      <c r="C1248" s="12"/>
      <c r="D1248" s="13"/>
      <c r="E1248" s="13"/>
      <c r="F1248" s="18" t="s">
        <v>879</v>
      </c>
    </row>
    <row r="1249" spans="2:6">
      <c r="B1249" s="12"/>
      <c r="C1249" s="12"/>
      <c r="D1249" s="13"/>
      <c r="E1249" s="13"/>
      <c r="F1249" s="18" t="s">
        <v>880</v>
      </c>
    </row>
    <row r="1250" spans="2:6">
      <c r="B1250" s="12"/>
      <c r="C1250" s="12"/>
      <c r="D1250" s="13"/>
      <c r="E1250" s="13"/>
      <c r="F1250" s="18" t="s">
        <v>881</v>
      </c>
    </row>
    <row r="1251" spans="2:6">
      <c r="B1251" s="12"/>
      <c r="C1251" s="12"/>
      <c r="D1251" s="13"/>
      <c r="E1251" s="13"/>
      <c r="F1251" s="18" t="s">
        <v>587</v>
      </c>
    </row>
    <row r="1252" spans="2:6">
      <c r="B1252" s="12"/>
      <c r="C1252" s="12"/>
      <c r="D1252" s="13"/>
      <c r="E1252" s="13"/>
      <c r="F1252" s="18" t="s">
        <v>887</v>
      </c>
    </row>
    <row r="1253" spans="2:6">
      <c r="B1253" s="12"/>
      <c r="C1253" s="12"/>
      <c r="D1253" s="13"/>
      <c r="E1253" s="13"/>
      <c r="F1253" s="18" t="s">
        <v>883</v>
      </c>
    </row>
    <row r="1254" spans="2:6">
      <c r="B1254" s="12"/>
      <c r="C1254" s="12"/>
      <c r="D1254" s="13"/>
      <c r="E1254" s="13"/>
    </row>
    <row r="1255" spans="2:6">
      <c r="B1255" s="12"/>
      <c r="C1255" s="12"/>
      <c r="D1255" s="13"/>
      <c r="E1255" s="13" t="s">
        <v>894</v>
      </c>
      <c r="F1255" s="18" t="s">
        <v>837</v>
      </c>
    </row>
    <row r="1256" spans="2:6">
      <c r="B1256" s="12"/>
      <c r="C1256" s="12"/>
      <c r="D1256" s="13"/>
      <c r="E1256" s="13"/>
      <c r="F1256" s="18" t="s">
        <v>838</v>
      </c>
    </row>
    <row r="1257" spans="2:6">
      <c r="B1257" s="12"/>
      <c r="C1257" s="12"/>
      <c r="D1257" s="13"/>
      <c r="E1257" s="13"/>
      <c r="F1257" s="18" t="s">
        <v>839</v>
      </c>
    </row>
    <row r="1258" spans="2:6">
      <c r="B1258" s="12"/>
      <c r="C1258" s="12"/>
      <c r="D1258" s="13"/>
      <c r="E1258" s="13"/>
      <c r="F1258" s="18" t="s">
        <v>840</v>
      </c>
    </row>
    <row r="1259" spans="2:6">
      <c r="B1259" s="12"/>
      <c r="C1259" s="12"/>
      <c r="D1259" s="13"/>
      <c r="E1259" s="13"/>
      <c r="F1259" s="18" t="s">
        <v>841</v>
      </c>
    </row>
    <row r="1260" spans="2:6">
      <c r="B1260" s="12"/>
      <c r="C1260" s="12"/>
      <c r="D1260" s="13"/>
      <c r="E1260" s="13"/>
      <c r="F1260" s="18" t="s">
        <v>842</v>
      </c>
    </row>
    <row r="1261" spans="2:6">
      <c r="B1261" s="12"/>
      <c r="C1261" s="12"/>
      <c r="D1261" s="13"/>
      <c r="E1261" s="13"/>
      <c r="F1261" s="18" t="s">
        <v>843</v>
      </c>
    </row>
    <row r="1262" spans="2:6">
      <c r="B1262" s="12"/>
      <c r="C1262" s="12"/>
      <c r="D1262" s="13"/>
      <c r="E1262" s="13"/>
      <c r="F1262" s="18" t="s">
        <v>844</v>
      </c>
    </row>
    <row r="1263" spans="2:6">
      <c r="B1263" s="12"/>
      <c r="C1263" s="12"/>
      <c r="D1263" s="13"/>
      <c r="E1263" s="13"/>
      <c r="F1263" s="18" t="s">
        <v>845</v>
      </c>
    </row>
    <row r="1264" spans="2:6">
      <c r="B1264" s="12"/>
      <c r="C1264" s="12"/>
      <c r="D1264" s="13"/>
      <c r="E1264" s="13"/>
      <c r="F1264" s="18" t="s">
        <v>846</v>
      </c>
    </row>
    <row r="1265" spans="2:6">
      <c r="B1265" s="12"/>
      <c r="C1265" s="12"/>
      <c r="D1265" s="13"/>
      <c r="E1265" s="13"/>
      <c r="F1265" s="18" t="s">
        <v>847</v>
      </c>
    </row>
    <row r="1266" spans="2:6">
      <c r="B1266" s="12"/>
      <c r="C1266" s="12"/>
      <c r="D1266" s="13"/>
      <c r="E1266" s="13"/>
      <c r="F1266" s="18" t="s">
        <v>848</v>
      </c>
    </row>
    <row r="1267" spans="2:6">
      <c r="B1267" s="12"/>
      <c r="C1267" s="12"/>
      <c r="D1267" s="13"/>
      <c r="E1267" s="13"/>
      <c r="F1267" s="18" t="s">
        <v>849</v>
      </c>
    </row>
    <row r="1268" spans="2:6">
      <c r="B1268" s="12"/>
      <c r="C1268" s="12"/>
      <c r="D1268" s="13"/>
      <c r="E1268" s="13"/>
      <c r="F1268" s="18" t="s">
        <v>850</v>
      </c>
    </row>
    <row r="1269" spans="2:6">
      <c r="B1269" s="12"/>
      <c r="C1269" s="12"/>
      <c r="D1269" s="13"/>
      <c r="E1269" s="13"/>
      <c r="F1269" s="18" t="s">
        <v>851</v>
      </c>
    </row>
    <row r="1270" spans="2:6">
      <c r="B1270" s="12"/>
      <c r="C1270" s="12"/>
      <c r="D1270" s="13"/>
      <c r="E1270" s="13"/>
      <c r="F1270" s="18" t="s">
        <v>852</v>
      </c>
    </row>
    <row r="1271" spans="2:6">
      <c r="B1271" s="12"/>
      <c r="C1271" s="12"/>
      <c r="D1271" s="13"/>
      <c r="E1271" s="13"/>
      <c r="F1271" s="18" t="s">
        <v>853</v>
      </c>
    </row>
    <row r="1272" spans="2:6">
      <c r="B1272" s="12"/>
      <c r="C1272" s="12"/>
      <c r="D1272" s="13"/>
      <c r="E1272" s="13"/>
      <c r="F1272" s="18" t="s">
        <v>854</v>
      </c>
    </row>
    <row r="1273" spans="2:6">
      <c r="B1273" s="12"/>
      <c r="C1273" s="12"/>
      <c r="D1273" s="13"/>
      <c r="E1273" s="13"/>
      <c r="F1273" s="18" t="s">
        <v>855</v>
      </c>
    </row>
    <row r="1274" spans="2:6">
      <c r="B1274" s="12"/>
      <c r="C1274" s="12"/>
      <c r="D1274" s="13"/>
      <c r="E1274" s="13"/>
      <c r="F1274" s="18" t="s">
        <v>856</v>
      </c>
    </row>
    <row r="1275" spans="2:6">
      <c r="B1275" s="12"/>
      <c r="C1275" s="12"/>
      <c r="D1275" s="13"/>
      <c r="E1275" s="13"/>
      <c r="F1275" s="18" t="s">
        <v>857</v>
      </c>
    </row>
    <row r="1276" spans="2:6">
      <c r="B1276" s="12"/>
      <c r="C1276" s="12"/>
      <c r="D1276" s="13"/>
      <c r="E1276" s="13"/>
      <c r="F1276" s="18" t="s">
        <v>858</v>
      </c>
    </row>
    <row r="1277" spans="2:6">
      <c r="B1277" s="12"/>
      <c r="C1277" s="12"/>
      <c r="D1277" s="13"/>
      <c r="E1277" s="13"/>
      <c r="F1277" s="18" t="s">
        <v>859</v>
      </c>
    </row>
    <row r="1278" spans="2:6">
      <c r="B1278" s="12"/>
      <c r="C1278" s="12"/>
      <c r="D1278" s="13"/>
      <c r="E1278" s="13"/>
      <c r="F1278" s="18" t="s">
        <v>860</v>
      </c>
    </row>
    <row r="1279" spans="2:6">
      <c r="B1279" s="12"/>
      <c r="C1279" s="12"/>
      <c r="D1279" s="13"/>
      <c r="E1279" s="13"/>
      <c r="F1279" s="18" t="s">
        <v>861</v>
      </c>
    </row>
    <row r="1280" spans="2:6">
      <c r="B1280" s="12"/>
      <c r="C1280" s="12"/>
      <c r="D1280" s="13"/>
      <c r="E1280" s="13"/>
      <c r="F1280" s="18" t="s">
        <v>862</v>
      </c>
    </row>
    <row r="1281" spans="2:6">
      <c r="B1281" s="12"/>
      <c r="C1281" s="12"/>
      <c r="D1281" s="13"/>
      <c r="E1281" s="13"/>
      <c r="F1281" s="18" t="s">
        <v>863</v>
      </c>
    </row>
    <row r="1282" spans="2:6">
      <c r="B1282" s="12"/>
      <c r="C1282" s="12"/>
      <c r="D1282" s="13"/>
      <c r="E1282" s="13"/>
      <c r="F1282" s="18" t="s">
        <v>864</v>
      </c>
    </row>
    <row r="1283" spans="2:6">
      <c r="B1283" s="12"/>
      <c r="C1283" s="12"/>
      <c r="D1283" s="13"/>
      <c r="E1283" s="13"/>
      <c r="F1283" s="18" t="s">
        <v>865</v>
      </c>
    </row>
    <row r="1284" spans="2:6">
      <c r="B1284" s="12"/>
      <c r="C1284" s="12"/>
      <c r="D1284" s="13"/>
      <c r="E1284" s="13"/>
      <c r="F1284" s="18" t="s">
        <v>866</v>
      </c>
    </row>
    <row r="1285" spans="2:6">
      <c r="B1285" s="12"/>
      <c r="C1285" s="12"/>
      <c r="D1285" s="13"/>
      <c r="E1285" s="13"/>
      <c r="F1285" s="18" t="s">
        <v>867</v>
      </c>
    </row>
    <row r="1286" spans="2:6">
      <c r="B1286" s="12"/>
      <c r="C1286" s="12"/>
      <c r="D1286" s="13"/>
      <c r="E1286" s="13"/>
      <c r="F1286" s="18" t="s">
        <v>735</v>
      </c>
    </row>
    <row r="1287" spans="2:6">
      <c r="B1287" s="12"/>
      <c r="C1287" s="12"/>
      <c r="D1287" s="13"/>
      <c r="E1287" s="13"/>
      <c r="F1287" s="18" t="s">
        <v>868</v>
      </c>
    </row>
    <row r="1288" spans="2:6">
      <c r="B1288" s="12"/>
      <c r="C1288" s="12"/>
      <c r="D1288" s="13"/>
      <c r="E1288" s="13"/>
      <c r="F1288" s="18" t="s">
        <v>737</v>
      </c>
    </row>
    <row r="1289" spans="2:6">
      <c r="B1289" s="12"/>
      <c r="C1289" s="12"/>
      <c r="D1289" s="13"/>
      <c r="E1289" s="13"/>
      <c r="F1289" s="18" t="s">
        <v>738</v>
      </c>
    </row>
    <row r="1290" spans="2:6">
      <c r="B1290" s="12"/>
      <c r="C1290" s="12"/>
      <c r="D1290" s="13"/>
      <c r="E1290" s="13"/>
      <c r="F1290" s="18" t="s">
        <v>739</v>
      </c>
    </row>
    <row r="1291" spans="2:6">
      <c r="B1291" s="12"/>
      <c r="C1291" s="12"/>
      <c r="D1291" s="13"/>
      <c r="E1291" s="13"/>
      <c r="F1291" s="18" t="s">
        <v>740</v>
      </c>
    </row>
    <row r="1292" spans="2:6">
      <c r="B1292" s="12"/>
      <c r="C1292" s="12"/>
      <c r="D1292" s="13"/>
      <c r="E1292" s="13"/>
      <c r="F1292" s="18" t="s">
        <v>869</v>
      </c>
    </row>
    <row r="1293" spans="2:6">
      <c r="B1293" s="12"/>
      <c r="C1293" s="12"/>
      <c r="D1293" s="13"/>
      <c r="E1293" s="13"/>
      <c r="F1293" s="18" t="s">
        <v>742</v>
      </c>
    </row>
    <row r="1294" spans="2:6">
      <c r="B1294" s="12"/>
      <c r="C1294" s="12"/>
      <c r="D1294" s="13"/>
      <c r="E1294" s="13"/>
      <c r="F1294" s="18" t="s">
        <v>743</v>
      </c>
    </row>
    <row r="1295" spans="2:6">
      <c r="B1295" s="12"/>
      <c r="C1295" s="12"/>
      <c r="D1295" s="13"/>
      <c r="E1295" s="13"/>
      <c r="F1295" s="18" t="s">
        <v>744</v>
      </c>
    </row>
    <row r="1296" spans="2:6">
      <c r="B1296" s="12"/>
      <c r="C1296" s="12"/>
      <c r="D1296" s="13"/>
      <c r="E1296" s="13"/>
      <c r="F1296" s="18" t="s">
        <v>745</v>
      </c>
    </row>
    <row r="1297" spans="2:6">
      <c r="B1297" s="12"/>
      <c r="C1297" s="12"/>
      <c r="D1297" s="13"/>
      <c r="E1297" s="13"/>
      <c r="F1297" s="18" t="s">
        <v>746</v>
      </c>
    </row>
    <row r="1298" spans="2:6">
      <c r="B1298" s="12"/>
      <c r="C1298" s="12"/>
      <c r="D1298" s="13"/>
      <c r="E1298" s="13"/>
      <c r="F1298" s="18" t="s">
        <v>747</v>
      </c>
    </row>
    <row r="1299" spans="2:6">
      <c r="B1299" s="12"/>
      <c r="C1299" s="12"/>
      <c r="D1299" s="13"/>
      <c r="E1299" s="13"/>
      <c r="F1299" s="18" t="s">
        <v>884</v>
      </c>
    </row>
    <row r="1300" spans="2:6">
      <c r="B1300" s="12"/>
      <c r="C1300" s="12"/>
      <c r="D1300" s="13"/>
      <c r="E1300" s="13"/>
      <c r="F1300" s="18" t="s">
        <v>749</v>
      </c>
    </row>
    <row r="1301" spans="2:6">
      <c r="B1301" s="12"/>
      <c r="C1301" s="12"/>
      <c r="D1301" s="13"/>
      <c r="E1301" s="13"/>
      <c r="F1301" s="18" t="s">
        <v>750</v>
      </c>
    </row>
    <row r="1302" spans="2:6">
      <c r="B1302" s="12"/>
      <c r="C1302" s="12"/>
      <c r="D1302" s="13"/>
      <c r="E1302" s="13"/>
      <c r="F1302" s="18" t="s">
        <v>751</v>
      </c>
    </row>
    <row r="1303" spans="2:6">
      <c r="B1303" s="12"/>
      <c r="C1303" s="12"/>
      <c r="D1303" s="13"/>
      <c r="E1303" s="13"/>
      <c r="F1303" s="18" t="s">
        <v>752</v>
      </c>
    </row>
    <row r="1304" spans="2:6">
      <c r="B1304" s="12"/>
      <c r="C1304" s="12"/>
      <c r="D1304" s="13"/>
      <c r="E1304" s="13"/>
      <c r="F1304" s="18" t="s">
        <v>753</v>
      </c>
    </row>
    <row r="1305" spans="2:6">
      <c r="B1305" s="12"/>
      <c r="C1305" s="12"/>
      <c r="D1305" s="13"/>
      <c r="E1305" s="13"/>
      <c r="F1305" s="18" t="s">
        <v>754</v>
      </c>
    </row>
    <row r="1306" spans="2:6">
      <c r="B1306" s="12"/>
      <c r="C1306" s="12"/>
      <c r="D1306" s="13"/>
      <c r="E1306" s="13"/>
      <c r="F1306" s="18" t="s">
        <v>885</v>
      </c>
    </row>
    <row r="1307" spans="2:6">
      <c r="B1307" s="12"/>
      <c r="C1307" s="12"/>
      <c r="D1307" s="13"/>
      <c r="E1307" s="13"/>
      <c r="F1307" s="18" t="s">
        <v>872</v>
      </c>
    </row>
    <row r="1308" spans="2:6">
      <c r="B1308" s="12"/>
      <c r="C1308" s="12"/>
      <c r="D1308" s="13"/>
      <c r="E1308" s="13"/>
      <c r="F1308" s="18" t="s">
        <v>757</v>
      </c>
    </row>
    <row r="1309" spans="2:6">
      <c r="B1309" s="12"/>
      <c r="C1309" s="12"/>
      <c r="D1309" s="13"/>
      <c r="E1309" s="13"/>
      <c r="F1309" s="18" t="s">
        <v>758</v>
      </c>
    </row>
    <row r="1310" spans="2:6">
      <c r="B1310" s="12"/>
      <c r="C1310" s="12"/>
      <c r="D1310" s="13"/>
      <c r="E1310" s="13"/>
      <c r="F1310" s="18" t="s">
        <v>889</v>
      </c>
    </row>
    <row r="1311" spans="2:6">
      <c r="B1311" s="12"/>
      <c r="C1311" s="12"/>
      <c r="D1311" s="13"/>
      <c r="E1311" s="13"/>
      <c r="F1311" s="18" t="s">
        <v>759</v>
      </c>
    </row>
    <row r="1312" spans="2:6">
      <c r="B1312" s="12"/>
      <c r="C1312" s="12"/>
      <c r="D1312" s="13"/>
      <c r="E1312" s="13"/>
      <c r="F1312" s="18" t="s">
        <v>873</v>
      </c>
    </row>
    <row r="1313" spans="2:6">
      <c r="B1313" s="12"/>
      <c r="C1313" s="12"/>
      <c r="D1313" s="13"/>
      <c r="E1313" s="13"/>
      <c r="F1313" s="18" t="s">
        <v>874</v>
      </c>
    </row>
    <row r="1314" spans="2:6">
      <c r="B1314" s="12"/>
      <c r="C1314" s="12"/>
      <c r="D1314" s="13"/>
      <c r="E1314" s="13"/>
      <c r="F1314" s="18" t="s">
        <v>875</v>
      </c>
    </row>
    <row r="1315" spans="2:6">
      <c r="B1315" s="12"/>
      <c r="C1315" s="12"/>
      <c r="D1315" s="13"/>
      <c r="E1315" s="13"/>
      <c r="F1315" s="18" t="s">
        <v>762</v>
      </c>
    </row>
    <row r="1316" spans="2:6">
      <c r="B1316" s="12"/>
      <c r="C1316" s="12"/>
      <c r="D1316" s="13"/>
      <c r="E1316" s="13"/>
      <c r="F1316" s="18" t="s">
        <v>876</v>
      </c>
    </row>
    <row r="1317" spans="2:6">
      <c r="B1317" s="12"/>
      <c r="C1317" s="12"/>
      <c r="D1317" s="13"/>
      <c r="E1317" s="13"/>
      <c r="F1317" s="18" t="s">
        <v>764</v>
      </c>
    </row>
    <row r="1318" spans="2:6">
      <c r="B1318" s="12"/>
      <c r="C1318" s="12"/>
      <c r="D1318" s="13"/>
      <c r="E1318" s="13"/>
      <c r="F1318" s="18" t="s">
        <v>877</v>
      </c>
    </row>
    <row r="1319" spans="2:6">
      <c r="B1319" s="12"/>
      <c r="C1319" s="12"/>
      <c r="D1319" s="13"/>
      <c r="E1319" s="13"/>
      <c r="F1319" s="18" t="s">
        <v>878</v>
      </c>
    </row>
    <row r="1320" spans="2:6">
      <c r="B1320" s="12"/>
      <c r="C1320" s="12"/>
      <c r="D1320" s="13"/>
      <c r="E1320" s="13"/>
      <c r="F1320" s="18" t="s">
        <v>879</v>
      </c>
    </row>
    <row r="1321" spans="2:6">
      <c r="B1321" s="12"/>
      <c r="C1321" s="12"/>
      <c r="D1321" s="13"/>
      <c r="E1321" s="13"/>
      <c r="F1321" s="18" t="s">
        <v>880</v>
      </c>
    </row>
    <row r="1322" spans="2:6">
      <c r="B1322" s="12"/>
      <c r="C1322" s="12"/>
      <c r="D1322" s="13"/>
      <c r="E1322" s="13"/>
      <c r="F1322" s="18" t="s">
        <v>881</v>
      </c>
    </row>
    <row r="1323" spans="2:6">
      <c r="B1323" s="12"/>
      <c r="C1323" s="12"/>
      <c r="D1323" s="13"/>
      <c r="E1323" s="13"/>
      <c r="F1323" s="18" t="s">
        <v>587</v>
      </c>
    </row>
    <row r="1324" spans="2:6">
      <c r="B1324" s="12"/>
      <c r="C1324" s="12"/>
      <c r="D1324" s="13"/>
      <c r="E1324" s="13"/>
      <c r="F1324" s="18" t="s">
        <v>895</v>
      </c>
    </row>
    <row r="1325" spans="2:6">
      <c r="B1325" s="12"/>
      <c r="C1325" s="12"/>
      <c r="D1325" s="13"/>
      <c r="E1325" s="13"/>
      <c r="F1325" s="18" t="s">
        <v>883</v>
      </c>
    </row>
    <row r="1326" spans="2:6">
      <c r="B1326" s="12"/>
      <c r="C1326" s="12"/>
      <c r="D1326" s="13"/>
      <c r="E1326" s="13"/>
    </row>
    <row r="1327" spans="2:6">
      <c r="B1327" s="12"/>
      <c r="C1327" s="12"/>
      <c r="D1327" s="13" t="s">
        <v>366</v>
      </c>
      <c r="E1327" s="13" t="s">
        <v>896</v>
      </c>
      <c r="F1327" s="18" t="s">
        <v>828</v>
      </c>
    </row>
    <row r="1328" spans="2:6">
      <c r="B1328" s="12"/>
      <c r="C1328" s="12"/>
      <c r="D1328" s="13"/>
      <c r="E1328" s="13"/>
      <c r="F1328" s="18" t="s">
        <v>829</v>
      </c>
    </row>
    <row r="1329" spans="2:6">
      <c r="B1329" s="12"/>
      <c r="C1329" s="12"/>
      <c r="D1329" s="13"/>
      <c r="E1329" s="13"/>
      <c r="F1329" s="18" t="s">
        <v>587</v>
      </c>
    </row>
    <row r="1330" spans="2:6">
      <c r="B1330" s="12"/>
      <c r="C1330" s="12"/>
      <c r="D1330" s="13"/>
      <c r="E1330" s="13"/>
      <c r="F1330" s="18" t="s">
        <v>830</v>
      </c>
    </row>
    <row r="1331" spans="2:6">
      <c r="B1331" s="12"/>
      <c r="C1331" s="12"/>
      <c r="D1331" s="13"/>
      <c r="E1331" s="13"/>
      <c r="F1331" s="18" t="s">
        <v>626</v>
      </c>
    </row>
    <row r="1332" spans="2:6">
      <c r="B1332" s="12"/>
      <c r="C1332" s="12"/>
      <c r="D1332" s="13"/>
      <c r="E1332" s="13"/>
      <c r="F1332" s="18" t="s">
        <v>897</v>
      </c>
    </row>
    <row r="1333" spans="2:6">
      <c r="B1333" s="12"/>
      <c r="C1333" s="12"/>
      <c r="D1333" s="13"/>
      <c r="E1333" s="13"/>
      <c r="F1333" s="18" t="s">
        <v>898</v>
      </c>
    </row>
    <row r="1334" spans="2:6">
      <c r="B1334" s="12"/>
      <c r="C1334" s="12"/>
      <c r="D1334" s="13"/>
      <c r="E1334" s="13"/>
      <c r="F1334" s="18" t="s">
        <v>899</v>
      </c>
    </row>
    <row r="1335" spans="2:6">
      <c r="B1335" s="12"/>
      <c r="C1335" s="12"/>
      <c r="D1335" s="13"/>
      <c r="E1335" s="13"/>
    </row>
    <row r="1336" spans="2:6">
      <c r="B1336" s="12" t="s">
        <v>900</v>
      </c>
      <c r="C1336" s="12" t="s">
        <v>372</v>
      </c>
      <c r="D1336" s="13" t="s">
        <v>631</v>
      </c>
      <c r="E1336" s="13"/>
      <c r="F1336" s="18" t="s">
        <v>772</v>
      </c>
    </row>
    <row r="1337" spans="2:6">
      <c r="B1337" s="12"/>
      <c r="C1337" s="12"/>
      <c r="D1337" s="13"/>
      <c r="E1337" s="13"/>
    </row>
    <row r="1338" spans="2:6" ht="297">
      <c r="B1338" s="12"/>
      <c r="C1338" s="12"/>
      <c r="D1338" s="13" t="s">
        <v>378</v>
      </c>
      <c r="E1338" s="13"/>
      <c r="F1338" s="21" t="s">
        <v>901</v>
      </c>
    </row>
    <row r="1339" spans="2:6">
      <c r="B1339" s="12"/>
      <c r="C1339" s="12"/>
      <c r="D1339" s="13"/>
      <c r="E1339" s="13"/>
    </row>
    <row r="1340" spans="2:6">
      <c r="B1340" s="12"/>
      <c r="C1340" s="12"/>
      <c r="D1340" s="13" t="s">
        <v>902</v>
      </c>
      <c r="E1340" s="13" t="s">
        <v>903</v>
      </c>
      <c r="F1340" s="18" t="s">
        <v>621</v>
      </c>
    </row>
    <row r="1341" spans="2:6">
      <c r="B1341" s="12"/>
      <c r="C1341" s="12"/>
      <c r="D1341" s="13"/>
      <c r="E1341" s="30" t="s">
        <v>579</v>
      </c>
      <c r="F1341" s="18" t="s">
        <v>623</v>
      </c>
    </row>
    <row r="1342" spans="2:6">
      <c r="B1342" s="12"/>
      <c r="C1342" s="12"/>
      <c r="D1342" s="13"/>
      <c r="E1342" s="13" t="s">
        <v>51</v>
      </c>
      <c r="F1342" s="18" t="s">
        <v>587</v>
      </c>
    </row>
    <row r="1343" spans="2:6">
      <c r="B1343" s="12"/>
      <c r="C1343" s="12"/>
      <c r="D1343" s="13"/>
      <c r="E1343" s="13"/>
      <c r="F1343" s="18" t="s">
        <v>625</v>
      </c>
    </row>
    <row r="1344" spans="2:6">
      <c r="B1344" s="12"/>
      <c r="C1344" s="12"/>
      <c r="D1344" s="13"/>
      <c r="E1344" s="13"/>
      <c r="F1344" s="18" t="s">
        <v>626</v>
      </c>
    </row>
    <row r="1345" spans="2:6">
      <c r="B1345" s="12"/>
      <c r="C1345" s="12"/>
      <c r="D1345" s="13"/>
      <c r="E1345" s="13"/>
      <c r="F1345" s="18" t="s">
        <v>904</v>
      </c>
    </row>
    <row r="1346" spans="2:6">
      <c r="B1346" s="12"/>
      <c r="C1346" s="12"/>
      <c r="D1346" s="13"/>
      <c r="E1346" s="13"/>
    </row>
    <row r="1347" spans="2:6">
      <c r="B1347" s="12"/>
      <c r="C1347" s="12"/>
      <c r="D1347" s="13"/>
      <c r="E1347" s="13" t="s">
        <v>905</v>
      </c>
      <c r="F1347" s="18" t="s">
        <v>621</v>
      </c>
    </row>
    <row r="1348" spans="2:6">
      <c r="B1348" s="12"/>
      <c r="C1348" s="12"/>
      <c r="D1348" s="13"/>
      <c r="E1348" s="30" t="s">
        <v>579</v>
      </c>
      <c r="F1348" s="18" t="s">
        <v>623</v>
      </c>
    </row>
    <row r="1349" spans="2:6">
      <c r="B1349" s="12"/>
      <c r="C1349" s="12"/>
      <c r="D1349" s="13"/>
      <c r="E1349" s="13" t="s">
        <v>51</v>
      </c>
      <c r="F1349" s="18" t="s">
        <v>587</v>
      </c>
    </row>
    <row r="1350" spans="2:6">
      <c r="B1350" s="12"/>
      <c r="C1350" s="12"/>
      <c r="D1350" s="13"/>
      <c r="E1350" s="13"/>
      <c r="F1350" s="18" t="s">
        <v>625</v>
      </c>
    </row>
    <row r="1351" spans="2:6">
      <c r="B1351" s="12"/>
      <c r="C1351" s="12"/>
      <c r="D1351" s="13"/>
      <c r="E1351" s="13"/>
      <c r="F1351" s="18" t="s">
        <v>626</v>
      </c>
    </row>
    <row r="1352" spans="2:6">
      <c r="B1352" s="12"/>
      <c r="C1352" s="12"/>
      <c r="D1352" s="13"/>
      <c r="E1352" s="13"/>
      <c r="F1352" s="18" t="s">
        <v>906</v>
      </c>
    </row>
    <row r="1353" spans="2:6">
      <c r="B1353" s="12"/>
      <c r="C1353" s="12"/>
      <c r="D1353" s="13"/>
      <c r="E1353" s="13"/>
    </row>
    <row r="1354" spans="2:6">
      <c r="B1354" s="12"/>
      <c r="C1354" s="12"/>
      <c r="D1354" s="13" t="s">
        <v>48</v>
      </c>
      <c r="E1354" s="13" t="s">
        <v>903</v>
      </c>
      <c r="F1354" s="18" t="s">
        <v>621</v>
      </c>
    </row>
    <row r="1355" spans="2:6">
      <c r="B1355" s="12"/>
      <c r="C1355" s="12"/>
      <c r="D1355" s="13"/>
      <c r="E1355" s="30" t="s">
        <v>579</v>
      </c>
      <c r="F1355" s="18" t="s">
        <v>623</v>
      </c>
    </row>
    <row r="1356" spans="2:6">
      <c r="B1356" s="12"/>
      <c r="C1356" s="12"/>
      <c r="D1356" s="13"/>
      <c r="E1356" s="13" t="s">
        <v>51</v>
      </c>
      <c r="F1356" s="18" t="s">
        <v>587</v>
      </c>
    </row>
    <row r="1357" spans="2:6">
      <c r="B1357" s="12"/>
      <c r="C1357" s="12"/>
      <c r="D1357" s="13"/>
      <c r="E1357" s="13"/>
      <c r="F1357" s="18" t="s">
        <v>625</v>
      </c>
    </row>
    <row r="1358" spans="2:6">
      <c r="B1358" s="12"/>
      <c r="C1358" s="12"/>
      <c r="D1358" s="13"/>
      <c r="E1358" s="13"/>
      <c r="F1358" s="18" t="s">
        <v>626</v>
      </c>
    </row>
    <row r="1359" spans="2:6">
      <c r="B1359" s="12"/>
      <c r="C1359" s="12"/>
      <c r="D1359" s="13"/>
      <c r="E1359" s="13"/>
      <c r="F1359" s="18" t="s">
        <v>627</v>
      </c>
    </row>
    <row r="1360" spans="2:6">
      <c r="B1360" s="12"/>
      <c r="C1360" s="12"/>
      <c r="D1360" s="13"/>
      <c r="E1360" s="13"/>
    </row>
    <row r="1361" spans="2:6">
      <c r="B1361" s="12"/>
      <c r="C1361" s="12"/>
      <c r="D1361" s="13"/>
      <c r="E1361" s="13" t="s">
        <v>905</v>
      </c>
      <c r="F1361" s="18" t="s">
        <v>621</v>
      </c>
    </row>
    <row r="1362" spans="2:6">
      <c r="B1362" s="12"/>
      <c r="C1362" s="12"/>
      <c r="D1362" s="13"/>
      <c r="E1362" s="30" t="s">
        <v>579</v>
      </c>
      <c r="F1362" s="18" t="s">
        <v>623</v>
      </c>
    </row>
    <row r="1363" spans="2:6">
      <c r="B1363" s="12"/>
      <c r="C1363" s="12"/>
      <c r="D1363" s="13"/>
      <c r="E1363" s="13" t="s">
        <v>51</v>
      </c>
      <c r="F1363" s="18" t="s">
        <v>587</v>
      </c>
    </row>
    <row r="1364" spans="2:6">
      <c r="B1364" s="12"/>
      <c r="C1364" s="12"/>
      <c r="D1364" s="13"/>
      <c r="E1364" s="13"/>
      <c r="F1364" s="18" t="s">
        <v>625</v>
      </c>
    </row>
    <row r="1365" spans="2:6">
      <c r="B1365" s="12"/>
      <c r="C1365" s="12"/>
      <c r="D1365" s="13"/>
      <c r="E1365" s="13"/>
      <c r="F1365" s="18" t="s">
        <v>626</v>
      </c>
    </row>
    <row r="1366" spans="2:6">
      <c r="B1366" s="12"/>
      <c r="C1366" s="12"/>
      <c r="D1366" s="13"/>
      <c r="E1366" s="13"/>
      <c r="F1366" s="18" t="s">
        <v>907</v>
      </c>
    </row>
    <row r="1367" spans="2:6">
      <c r="B1367" s="12"/>
      <c r="C1367" s="12"/>
      <c r="D1367" s="13"/>
      <c r="E1367" s="13"/>
    </row>
    <row r="1368" spans="2:6">
      <c r="B1368" s="12"/>
      <c r="C1368" s="12" t="s">
        <v>387</v>
      </c>
      <c r="D1368" s="13" t="s">
        <v>908</v>
      </c>
      <c r="E1368" s="13"/>
      <c r="F1368" s="18" t="s">
        <v>909</v>
      </c>
    </row>
    <row r="1369" spans="2:6">
      <c r="B1369" s="12"/>
      <c r="C1369" s="12"/>
      <c r="D1369" s="13"/>
      <c r="E1369" s="13"/>
    </row>
    <row r="1370" spans="2:6">
      <c r="B1370" s="12"/>
      <c r="C1370" s="12" t="s">
        <v>388</v>
      </c>
      <c r="D1370" s="13" t="s">
        <v>910</v>
      </c>
      <c r="E1370" s="13"/>
      <c r="F1370" s="18" t="s">
        <v>911</v>
      </c>
    </row>
    <row r="1371" spans="2:6">
      <c r="B1371" s="12"/>
      <c r="C1371" s="12"/>
      <c r="D1371" s="13"/>
      <c r="E1371" s="13"/>
    </row>
    <row r="1372" spans="2:6">
      <c r="B1372" s="12"/>
      <c r="C1372" s="12" t="s">
        <v>388</v>
      </c>
      <c r="D1372" s="13" t="s">
        <v>912</v>
      </c>
      <c r="E1372" s="13"/>
      <c r="F1372" s="18" t="s">
        <v>913</v>
      </c>
    </row>
    <row r="1373" spans="2:6">
      <c r="B1373" s="12"/>
      <c r="C1373" s="12"/>
      <c r="D1373" s="13"/>
      <c r="E1373" s="13"/>
    </row>
    <row r="1374" spans="2:6">
      <c r="B1374" s="12"/>
      <c r="C1374" s="12" t="s">
        <v>391</v>
      </c>
      <c r="D1374" s="13" t="s">
        <v>914</v>
      </c>
      <c r="E1374" s="13"/>
      <c r="F1374" s="18" t="s">
        <v>915</v>
      </c>
    </row>
    <row r="1375" spans="2:6">
      <c r="B1375" s="12"/>
      <c r="C1375" s="12"/>
      <c r="D1375" s="13"/>
      <c r="E1375" s="13"/>
    </row>
    <row r="1376" spans="2:6">
      <c r="B1376" s="12"/>
      <c r="C1376" s="12" t="s">
        <v>391</v>
      </c>
      <c r="D1376" s="13" t="s">
        <v>916</v>
      </c>
      <c r="E1376" s="13"/>
      <c r="F1376" s="18" t="s">
        <v>917</v>
      </c>
    </row>
    <row r="1377" spans="2:6">
      <c r="B1377" s="12"/>
      <c r="C1377" s="12"/>
      <c r="D1377" s="13"/>
      <c r="E1377" s="13"/>
    </row>
    <row r="1378" spans="2:6">
      <c r="B1378" s="12"/>
      <c r="C1378" s="12" t="s">
        <v>391</v>
      </c>
      <c r="D1378" s="13" t="s">
        <v>918</v>
      </c>
      <c r="E1378" s="13"/>
      <c r="F1378" s="18" t="s">
        <v>919</v>
      </c>
    </row>
    <row r="1379" spans="2:6">
      <c r="B1379" s="12"/>
      <c r="C1379" s="12"/>
      <c r="D1379" s="13"/>
      <c r="E1379" s="13"/>
    </row>
    <row r="1380" spans="2:6">
      <c r="B1380" s="12"/>
      <c r="C1380" s="12" t="s">
        <v>393</v>
      </c>
      <c r="D1380" s="13" t="s">
        <v>394</v>
      </c>
      <c r="E1380" s="13"/>
      <c r="F1380" s="19" t="s">
        <v>604</v>
      </c>
    </row>
    <row r="1381" spans="2:6">
      <c r="B1381" s="12"/>
      <c r="C1381" s="12"/>
      <c r="D1381" s="13"/>
      <c r="E1381" s="13"/>
      <c r="F1381" s="19" t="s">
        <v>920</v>
      </c>
    </row>
    <row r="1382" spans="2:6">
      <c r="B1382" s="12"/>
      <c r="C1382" s="12"/>
      <c r="D1382" s="13"/>
      <c r="E1382" s="13"/>
      <c r="F1382" s="19" t="s">
        <v>598</v>
      </c>
    </row>
    <row r="1383" spans="2:6">
      <c r="B1383" s="12"/>
      <c r="C1383" s="12"/>
      <c r="D1383" s="13"/>
      <c r="E1383" s="13"/>
      <c r="F1383" s="19" t="s">
        <v>599</v>
      </c>
    </row>
    <row r="1384" spans="2:6">
      <c r="B1384" s="12"/>
      <c r="C1384" s="12"/>
      <c r="D1384" s="13"/>
      <c r="E1384" s="13"/>
      <c r="F1384" s="19" t="s">
        <v>600</v>
      </c>
    </row>
    <row r="1385" spans="2:6">
      <c r="B1385" s="12"/>
      <c r="C1385" s="12"/>
      <c r="D1385" s="13"/>
      <c r="E1385" s="13"/>
      <c r="F1385" s="19" t="s">
        <v>601</v>
      </c>
    </row>
    <row r="1386" spans="2:6">
      <c r="B1386" s="12"/>
      <c r="C1386" s="12"/>
      <c r="D1386" s="13"/>
      <c r="E1386" s="13"/>
      <c r="F1386" s="19" t="s">
        <v>921</v>
      </c>
    </row>
    <row r="1387" spans="2:6">
      <c r="B1387" s="12"/>
      <c r="C1387" s="12"/>
      <c r="D1387" s="13"/>
      <c r="E1387" s="13"/>
      <c r="F1387" s="19" t="s">
        <v>922</v>
      </c>
    </row>
    <row r="1388" spans="2:6">
      <c r="B1388" s="12"/>
      <c r="C1388" s="12"/>
      <c r="D1388" s="13"/>
      <c r="E1388" s="13"/>
      <c r="F1388" s="19" t="s">
        <v>617</v>
      </c>
    </row>
    <row r="1389" spans="2:6">
      <c r="B1389" s="12"/>
      <c r="C1389" s="12"/>
      <c r="D1389" s="13"/>
      <c r="E1389" s="13"/>
      <c r="F1389" s="19"/>
    </row>
    <row r="1390" spans="2:6">
      <c r="B1390" s="12"/>
      <c r="C1390" s="12"/>
      <c r="D1390" s="13" t="s">
        <v>396</v>
      </c>
      <c r="E1390" s="13"/>
      <c r="F1390" s="19" t="s">
        <v>604</v>
      </c>
    </row>
    <row r="1391" spans="2:6">
      <c r="B1391" s="12"/>
      <c r="C1391" s="12"/>
      <c r="D1391" s="13"/>
      <c r="E1391" s="13"/>
      <c r="F1391" s="18" t="s">
        <v>920</v>
      </c>
    </row>
    <row r="1392" spans="2:6">
      <c r="B1392" s="12"/>
      <c r="C1392" s="12"/>
      <c r="D1392" s="13"/>
      <c r="E1392" s="13"/>
      <c r="F1392" s="18" t="s">
        <v>598</v>
      </c>
    </row>
    <row r="1393" spans="2:6">
      <c r="B1393" s="12"/>
      <c r="C1393" s="12"/>
      <c r="D1393" s="13"/>
      <c r="E1393" s="13"/>
      <c r="F1393" s="18" t="s">
        <v>599</v>
      </c>
    </row>
    <row r="1394" spans="2:6">
      <c r="B1394" s="12"/>
      <c r="C1394" s="12"/>
      <c r="D1394" s="13"/>
      <c r="E1394" s="13"/>
      <c r="F1394" s="18" t="s">
        <v>600</v>
      </c>
    </row>
    <row r="1395" spans="2:6">
      <c r="B1395" s="12"/>
      <c r="C1395" s="12"/>
      <c r="D1395" s="13"/>
      <c r="E1395" s="13"/>
      <c r="F1395" s="18" t="s">
        <v>601</v>
      </c>
    </row>
    <row r="1396" spans="2:6">
      <c r="B1396" s="12"/>
      <c r="C1396" s="12"/>
      <c r="D1396" s="13"/>
      <c r="E1396" s="13"/>
      <c r="F1396" s="18" t="s">
        <v>921</v>
      </c>
    </row>
    <row r="1397" spans="2:6">
      <c r="B1397" s="12"/>
      <c r="C1397" s="12"/>
      <c r="D1397" s="13"/>
      <c r="E1397" s="13"/>
      <c r="F1397" s="18" t="s">
        <v>923</v>
      </c>
    </row>
    <row r="1398" spans="2:6">
      <c r="B1398" s="12"/>
      <c r="C1398" s="12"/>
      <c r="D1398" s="13"/>
      <c r="E1398" s="13"/>
      <c r="F1398" s="18" t="s">
        <v>617</v>
      </c>
    </row>
    <row r="1399" spans="2:6">
      <c r="B1399" s="12"/>
      <c r="C1399" s="12"/>
      <c r="D1399" s="13"/>
      <c r="E1399" s="13"/>
    </row>
    <row r="1400" spans="2:6">
      <c r="B1400" s="12"/>
      <c r="C1400" s="12"/>
      <c r="D1400" s="13" t="s">
        <v>398</v>
      </c>
      <c r="E1400" s="13"/>
      <c r="F1400" s="18" t="s">
        <v>604</v>
      </c>
    </row>
    <row r="1401" spans="2:6">
      <c r="B1401" s="12"/>
      <c r="C1401" s="12"/>
      <c r="D1401" s="13"/>
      <c r="E1401" s="13"/>
      <c r="F1401" s="18" t="s">
        <v>920</v>
      </c>
    </row>
    <row r="1402" spans="2:6">
      <c r="B1402" s="12"/>
      <c r="C1402" s="12"/>
      <c r="D1402" s="13"/>
      <c r="E1402" s="13"/>
      <c r="F1402" s="18" t="s">
        <v>598</v>
      </c>
    </row>
    <row r="1403" spans="2:6">
      <c r="B1403" s="12"/>
      <c r="C1403" s="12"/>
      <c r="D1403" s="13"/>
      <c r="E1403" s="13"/>
      <c r="F1403" s="18" t="s">
        <v>599</v>
      </c>
    </row>
    <row r="1404" spans="2:6">
      <c r="B1404" s="12"/>
      <c r="C1404" s="12"/>
      <c r="D1404" s="13"/>
      <c r="E1404" s="13"/>
      <c r="F1404" s="18" t="s">
        <v>600</v>
      </c>
    </row>
    <row r="1405" spans="2:6">
      <c r="B1405" s="12"/>
      <c r="C1405" s="12"/>
      <c r="D1405" s="13"/>
      <c r="E1405" s="13"/>
      <c r="F1405" s="18" t="s">
        <v>601</v>
      </c>
    </row>
    <row r="1406" spans="2:6">
      <c r="B1406" s="12"/>
      <c r="C1406" s="12"/>
      <c r="D1406" s="13"/>
      <c r="E1406" s="13"/>
      <c r="F1406" s="18" t="s">
        <v>921</v>
      </c>
    </row>
    <row r="1407" spans="2:6">
      <c r="B1407" s="12"/>
      <c r="C1407" s="12"/>
      <c r="D1407" s="13"/>
      <c r="E1407" s="13"/>
      <c r="F1407" s="18" t="s">
        <v>924</v>
      </c>
    </row>
    <row r="1408" spans="2:6">
      <c r="B1408" s="12"/>
      <c r="C1408" s="12"/>
      <c r="D1408" s="13"/>
      <c r="E1408" s="13"/>
      <c r="F1408" s="18" t="s">
        <v>617</v>
      </c>
    </row>
    <row r="1409" spans="2:6">
      <c r="B1409" s="12"/>
      <c r="C1409" s="12"/>
      <c r="D1409" s="13"/>
      <c r="E1409" s="13"/>
    </row>
    <row r="1410" spans="2:6">
      <c r="B1410" s="12"/>
      <c r="C1410" s="12" t="s">
        <v>400</v>
      </c>
      <c r="D1410" s="13" t="s">
        <v>394</v>
      </c>
      <c r="E1410" s="13"/>
      <c r="F1410" s="18" t="s">
        <v>604</v>
      </c>
    </row>
    <row r="1411" spans="2:6">
      <c r="B1411" s="12"/>
      <c r="C1411" s="12"/>
      <c r="D1411" s="13"/>
      <c r="E1411" s="13"/>
      <c r="F1411" s="18" t="s">
        <v>920</v>
      </c>
    </row>
    <row r="1412" spans="2:6">
      <c r="B1412" s="12"/>
      <c r="C1412" s="12"/>
      <c r="D1412" s="13"/>
      <c r="E1412" s="13"/>
      <c r="F1412" s="18" t="s">
        <v>598</v>
      </c>
    </row>
    <row r="1413" spans="2:6">
      <c r="B1413" s="12"/>
      <c r="C1413" s="12"/>
      <c r="D1413" s="13"/>
      <c r="E1413" s="13"/>
      <c r="F1413" s="18" t="s">
        <v>599</v>
      </c>
    </row>
    <row r="1414" spans="2:6">
      <c r="B1414" s="12"/>
      <c r="C1414" s="12"/>
      <c r="D1414" s="13"/>
      <c r="E1414" s="13"/>
      <c r="F1414" s="18" t="s">
        <v>600</v>
      </c>
    </row>
    <row r="1415" spans="2:6">
      <c r="B1415" s="12"/>
      <c r="C1415" s="12"/>
      <c r="D1415" s="13"/>
      <c r="E1415" s="13"/>
      <c r="F1415" s="18" t="s">
        <v>601</v>
      </c>
    </row>
    <row r="1416" spans="2:6">
      <c r="B1416" s="12"/>
      <c r="C1416" s="12"/>
      <c r="D1416" s="13"/>
      <c r="E1416" s="13"/>
      <c r="F1416" s="18" t="s">
        <v>921</v>
      </c>
    </row>
    <row r="1417" spans="2:6">
      <c r="B1417" s="12"/>
      <c r="C1417" s="12"/>
      <c r="D1417" s="13"/>
      <c r="E1417" s="13"/>
      <c r="F1417" s="18" t="s">
        <v>925</v>
      </c>
    </row>
    <row r="1418" spans="2:6">
      <c r="B1418" s="12"/>
      <c r="C1418" s="12"/>
      <c r="D1418" s="13"/>
      <c r="E1418" s="13"/>
      <c r="F1418" s="18" t="s">
        <v>617</v>
      </c>
    </row>
    <row r="1419" spans="2:6">
      <c r="B1419" s="12"/>
      <c r="C1419" s="12"/>
      <c r="D1419" s="13"/>
      <c r="E1419" s="13"/>
    </row>
    <row r="1420" spans="2:6">
      <c r="B1420" s="12"/>
      <c r="C1420" s="12"/>
      <c r="D1420" s="13" t="s">
        <v>396</v>
      </c>
      <c r="E1420" s="13"/>
      <c r="F1420" s="18" t="s">
        <v>604</v>
      </c>
    </row>
    <row r="1421" spans="2:6">
      <c r="B1421" s="12"/>
      <c r="C1421" s="12"/>
      <c r="D1421" s="13"/>
      <c r="E1421" s="13"/>
      <c r="F1421" s="18" t="s">
        <v>920</v>
      </c>
    </row>
    <row r="1422" spans="2:6">
      <c r="B1422" s="12"/>
      <c r="C1422" s="12"/>
      <c r="D1422" s="13"/>
      <c r="E1422" s="13"/>
      <c r="F1422" s="18" t="s">
        <v>598</v>
      </c>
    </row>
    <row r="1423" spans="2:6">
      <c r="B1423" s="12"/>
      <c r="C1423" s="12"/>
      <c r="D1423" s="13"/>
      <c r="E1423" s="13"/>
      <c r="F1423" s="18" t="s">
        <v>599</v>
      </c>
    </row>
    <row r="1424" spans="2:6">
      <c r="B1424" s="12"/>
      <c r="C1424" s="12"/>
      <c r="D1424" s="13"/>
      <c r="E1424" s="13"/>
      <c r="F1424" s="18" t="s">
        <v>600</v>
      </c>
    </row>
    <row r="1425" spans="2:6">
      <c r="B1425" s="12"/>
      <c r="C1425" s="12"/>
      <c r="D1425" s="13"/>
      <c r="E1425" s="13"/>
      <c r="F1425" s="18" t="s">
        <v>601</v>
      </c>
    </row>
    <row r="1426" spans="2:6">
      <c r="B1426" s="12"/>
      <c r="C1426" s="12"/>
      <c r="D1426" s="13"/>
      <c r="E1426" s="13"/>
      <c r="F1426" s="18" t="s">
        <v>921</v>
      </c>
    </row>
    <row r="1427" spans="2:6">
      <c r="B1427" s="12"/>
      <c r="C1427" s="12"/>
      <c r="D1427" s="13"/>
      <c r="E1427" s="13"/>
      <c r="F1427" s="18" t="s">
        <v>926</v>
      </c>
    </row>
    <row r="1428" spans="2:6">
      <c r="B1428" s="12"/>
      <c r="C1428" s="12"/>
      <c r="D1428" s="13"/>
      <c r="E1428" s="13"/>
      <c r="F1428" s="18" t="s">
        <v>617</v>
      </c>
    </row>
    <row r="1429" spans="2:6">
      <c r="B1429" s="12"/>
      <c r="C1429" s="12"/>
      <c r="D1429" s="13"/>
      <c r="E1429" s="13"/>
    </row>
    <row r="1430" spans="2:6">
      <c r="B1430" s="12"/>
      <c r="C1430" s="12"/>
      <c r="D1430" s="13" t="s">
        <v>398</v>
      </c>
      <c r="E1430" s="13"/>
      <c r="F1430" s="18" t="s">
        <v>604</v>
      </c>
    </row>
    <row r="1431" spans="2:6">
      <c r="B1431" s="12"/>
      <c r="C1431" s="12"/>
      <c r="D1431" s="13"/>
      <c r="E1431" s="13"/>
      <c r="F1431" s="18" t="s">
        <v>920</v>
      </c>
    </row>
    <row r="1432" spans="2:6">
      <c r="B1432" s="12"/>
      <c r="C1432" s="12"/>
      <c r="D1432" s="13"/>
      <c r="E1432" s="13"/>
      <c r="F1432" s="18" t="s">
        <v>598</v>
      </c>
    </row>
    <row r="1433" spans="2:6">
      <c r="B1433" s="12"/>
      <c r="C1433" s="12"/>
      <c r="D1433" s="13"/>
      <c r="E1433" s="13"/>
      <c r="F1433" s="18" t="s">
        <v>599</v>
      </c>
    </row>
    <row r="1434" spans="2:6">
      <c r="B1434" s="12"/>
      <c r="C1434" s="12"/>
      <c r="D1434" s="13"/>
      <c r="E1434" s="13"/>
      <c r="F1434" s="18" t="s">
        <v>600</v>
      </c>
    </row>
    <row r="1435" spans="2:6">
      <c r="B1435" s="12"/>
      <c r="C1435" s="12"/>
      <c r="D1435" s="13"/>
      <c r="E1435" s="13"/>
      <c r="F1435" s="18" t="s">
        <v>601</v>
      </c>
    </row>
    <row r="1436" spans="2:6">
      <c r="B1436" s="16"/>
      <c r="C1436" s="16"/>
      <c r="D1436" s="17"/>
      <c r="E1436" s="17"/>
      <c r="F1436" s="18" t="s">
        <v>921</v>
      </c>
    </row>
    <row r="1437" spans="2:6">
      <c r="B1437" s="12"/>
      <c r="C1437" s="12"/>
      <c r="D1437" s="13"/>
      <c r="E1437" s="13"/>
      <c r="F1437" s="18" t="s">
        <v>927</v>
      </c>
    </row>
    <row r="1438" spans="2:6">
      <c r="B1438" s="12"/>
      <c r="C1438" s="12"/>
      <c r="D1438" s="13"/>
      <c r="E1438" s="13"/>
      <c r="F1438" s="18" t="s">
        <v>617</v>
      </c>
    </row>
    <row r="1439" spans="2:6">
      <c r="D1439" s="14"/>
      <c r="E1439" s="14"/>
    </row>
    <row r="1440" spans="2:6">
      <c r="D1440" s="14"/>
      <c r="E1440" s="14"/>
    </row>
    <row r="1441" spans="4:5">
      <c r="D1441" s="14"/>
      <c r="E1441" s="14"/>
    </row>
    <row r="1442" spans="4:5">
      <c r="D1442" s="14"/>
      <c r="E1442" s="14"/>
    </row>
    <row r="1443" spans="4:5">
      <c r="D1443" s="14"/>
      <c r="E1443" s="14"/>
    </row>
    <row r="1444" spans="4:5">
      <c r="D1444" s="14"/>
      <c r="E1444" s="14"/>
    </row>
    <row r="1445" spans="4:5">
      <c r="D1445" s="14"/>
      <c r="E1445" s="14"/>
    </row>
    <row r="1446" spans="4:5">
      <c r="D1446" s="14"/>
      <c r="E1446" s="14"/>
    </row>
    <row r="1447" spans="4:5">
      <c r="D1447" s="14"/>
      <c r="E1447" s="14"/>
    </row>
    <row r="1448" spans="4:5">
      <c r="D1448" s="14"/>
      <c r="E1448" s="14"/>
    </row>
    <row r="1449" spans="4:5">
      <c r="D1449" s="14"/>
      <c r="E1449" s="14"/>
    </row>
    <row r="1450" spans="4:5">
      <c r="D1450" s="14"/>
      <c r="E1450" s="14"/>
    </row>
    <row r="1451" spans="4:5">
      <c r="D1451" s="14"/>
      <c r="E1451" s="14"/>
    </row>
    <row r="1452" spans="4:5">
      <c r="D1452" s="14"/>
      <c r="E1452" s="14"/>
    </row>
    <row r="1453" spans="4:5">
      <c r="D1453" s="14"/>
      <c r="E1453" s="14"/>
    </row>
    <row r="1454" spans="4:5">
      <c r="D1454" s="14"/>
      <c r="E1454" s="14"/>
    </row>
    <row r="1455" spans="4:5">
      <c r="D1455" s="14"/>
      <c r="E1455" s="14"/>
    </row>
    <row r="1456" spans="4:5">
      <c r="D1456" s="14"/>
      <c r="E1456" s="14"/>
    </row>
    <row r="1457" spans="4:5">
      <c r="D1457" s="14"/>
      <c r="E1457" s="14"/>
    </row>
    <row r="1458" spans="4:5">
      <c r="D1458" s="14"/>
      <c r="E1458" s="14"/>
    </row>
    <row r="1459" spans="4:5">
      <c r="D1459" s="14"/>
      <c r="E1459" s="14"/>
    </row>
    <row r="1460" spans="4:5">
      <c r="D1460" s="14"/>
      <c r="E1460" s="14"/>
    </row>
    <row r="1461" spans="4:5">
      <c r="D1461" s="14"/>
      <c r="E1461" s="14"/>
    </row>
    <row r="1462" spans="4:5">
      <c r="D1462" s="14"/>
      <c r="E1462" s="14"/>
    </row>
    <row r="1463" spans="4:5">
      <c r="D1463" s="14"/>
      <c r="E1463" s="14"/>
    </row>
    <row r="1464" spans="4:5">
      <c r="D1464" s="14"/>
      <c r="E1464" s="14"/>
    </row>
    <row r="1465" spans="4:5">
      <c r="D1465" s="14"/>
      <c r="E1465" s="14"/>
    </row>
    <row r="1466" spans="4:5">
      <c r="D1466" s="14"/>
      <c r="E1466" s="14"/>
    </row>
    <row r="1467" spans="4:5">
      <c r="D1467" s="14"/>
      <c r="E1467" s="14"/>
    </row>
    <row r="1468" spans="4:5">
      <c r="D1468" s="14"/>
      <c r="E1468" s="14"/>
    </row>
    <row r="1469" spans="4:5">
      <c r="D1469" s="14"/>
      <c r="E1469" s="14"/>
    </row>
    <row r="1470" spans="4:5">
      <c r="D1470" s="14"/>
      <c r="E1470" s="14"/>
    </row>
    <row r="1471" spans="4:5">
      <c r="D1471" s="14"/>
      <c r="E1471" s="14"/>
    </row>
    <row r="1472" spans="4:5">
      <c r="D1472" s="14"/>
      <c r="E1472" s="14"/>
    </row>
    <row r="1473" spans="4:5">
      <c r="D1473" s="14"/>
      <c r="E1473" s="14"/>
    </row>
    <row r="1474" spans="4:5">
      <c r="D1474" s="14"/>
      <c r="E1474" s="14"/>
    </row>
    <row r="1475" spans="4:5">
      <c r="D1475" s="14"/>
      <c r="E1475" s="14"/>
    </row>
    <row r="1476" spans="4:5">
      <c r="D1476" s="14"/>
      <c r="E1476" s="14"/>
    </row>
    <row r="1477" spans="4:5">
      <c r="D1477" s="14"/>
      <c r="E1477" s="14"/>
    </row>
    <row r="1478" spans="4:5">
      <c r="D1478" s="14"/>
      <c r="E1478" s="14"/>
    </row>
    <row r="1479" spans="4:5">
      <c r="D1479" s="14"/>
      <c r="E1479" s="14"/>
    </row>
    <row r="1480" spans="4:5">
      <c r="D1480" s="14"/>
      <c r="E1480" s="14"/>
    </row>
    <row r="1481" spans="4:5">
      <c r="D1481" s="14"/>
      <c r="E1481" s="14"/>
    </row>
    <row r="1482" spans="4:5">
      <c r="D1482" s="14"/>
      <c r="E1482" s="14"/>
    </row>
    <row r="1483" spans="4:5">
      <c r="D1483" s="14"/>
      <c r="E1483" s="14"/>
    </row>
    <row r="1484" spans="4:5">
      <c r="D1484" s="14"/>
      <c r="E1484" s="14"/>
    </row>
    <row r="1485" spans="4:5">
      <c r="D1485" s="14"/>
      <c r="E1485" s="14"/>
    </row>
    <row r="1486" spans="4:5">
      <c r="D1486" s="14"/>
      <c r="E1486" s="14"/>
    </row>
    <row r="1487" spans="4:5">
      <c r="D1487" s="14"/>
      <c r="E1487" s="14"/>
    </row>
    <row r="1488" spans="4:5">
      <c r="D1488" s="14"/>
      <c r="E1488" s="14"/>
    </row>
    <row r="1489" spans="4:5">
      <c r="D1489" s="14"/>
      <c r="E1489" s="14"/>
    </row>
    <row r="1490" spans="4:5">
      <c r="D1490" s="14"/>
      <c r="E1490" s="14"/>
    </row>
    <row r="1491" spans="4:5">
      <c r="D1491" s="14"/>
      <c r="E1491" s="14"/>
    </row>
    <row r="1492" spans="4:5">
      <c r="D1492" s="14"/>
      <c r="E1492" s="14"/>
    </row>
    <row r="1493" spans="4:5">
      <c r="D1493" s="14"/>
      <c r="E1493" s="14"/>
    </row>
    <row r="1494" spans="4:5">
      <c r="D1494" s="14"/>
      <c r="E1494" s="14"/>
    </row>
    <row r="1495" spans="4:5">
      <c r="D1495" s="14"/>
      <c r="E1495" s="14"/>
    </row>
    <row r="1496" spans="4:5">
      <c r="D1496" s="14"/>
      <c r="E1496" s="14"/>
    </row>
    <row r="1497" spans="4:5">
      <c r="D1497" s="14"/>
      <c r="E1497" s="14"/>
    </row>
    <row r="1498" spans="4:5">
      <c r="D1498" s="14"/>
      <c r="E1498" s="14"/>
    </row>
    <row r="1499" spans="4:5">
      <c r="D1499" s="14"/>
      <c r="E1499" s="14"/>
    </row>
    <row r="1500" spans="4:5">
      <c r="D1500" s="14"/>
      <c r="E1500" s="14"/>
    </row>
    <row r="1501" spans="4:5">
      <c r="D1501" s="14"/>
      <c r="E1501" s="14"/>
    </row>
    <row r="1502" spans="4:5">
      <c r="D1502" s="14"/>
      <c r="E1502" s="14"/>
    </row>
    <row r="1503" spans="4:5">
      <c r="D1503" s="14"/>
      <c r="E1503" s="14"/>
    </row>
    <row r="1504" spans="4:5">
      <c r="D1504" s="14"/>
      <c r="E1504" s="14"/>
    </row>
    <row r="1505" spans="4:5">
      <c r="D1505" s="14"/>
      <c r="E1505" s="14"/>
    </row>
    <row r="1506" spans="4:5">
      <c r="D1506" s="14"/>
      <c r="E1506" s="14"/>
    </row>
    <row r="1507" spans="4:5">
      <c r="D1507" s="14"/>
      <c r="E1507" s="14"/>
    </row>
    <row r="1508" spans="4:5">
      <c r="D1508" s="14"/>
      <c r="E1508" s="14"/>
    </row>
    <row r="1509" spans="4:5">
      <c r="D1509" s="14"/>
      <c r="E1509" s="14"/>
    </row>
    <row r="1510" spans="4:5">
      <c r="D1510" s="14"/>
      <c r="E1510" s="14"/>
    </row>
    <row r="1511" spans="4:5">
      <c r="D1511" s="14"/>
      <c r="E1511" s="14"/>
    </row>
    <row r="1512" spans="4:5">
      <c r="D1512" s="14"/>
      <c r="E1512" s="14"/>
    </row>
    <row r="1513" spans="4:5">
      <c r="D1513" s="14"/>
      <c r="E1513" s="14"/>
    </row>
    <row r="1514" spans="4:5">
      <c r="D1514" s="14"/>
      <c r="E1514" s="14"/>
    </row>
    <row r="1515" spans="4:5">
      <c r="D1515" s="14"/>
      <c r="E1515" s="14"/>
    </row>
    <row r="1516" spans="4:5">
      <c r="D1516" s="14"/>
      <c r="E1516" s="14"/>
    </row>
    <row r="1517" spans="4:5">
      <c r="D1517" s="14"/>
      <c r="E1517" s="14"/>
    </row>
    <row r="1518" spans="4:5">
      <c r="D1518" s="14"/>
      <c r="E1518" s="14"/>
    </row>
    <row r="1519" spans="4:5">
      <c r="D1519" s="14"/>
      <c r="E1519" s="14"/>
    </row>
    <row r="1520" spans="4:5">
      <c r="D1520" s="14"/>
      <c r="E1520" s="14"/>
    </row>
    <row r="1521" spans="4:5">
      <c r="D1521" s="14"/>
      <c r="E1521" s="14"/>
    </row>
    <row r="1522" spans="4:5">
      <c r="D1522" s="14"/>
      <c r="E1522" s="14"/>
    </row>
    <row r="1523" spans="4:5">
      <c r="D1523" s="14"/>
      <c r="E1523" s="14"/>
    </row>
    <row r="1524" spans="4:5">
      <c r="D1524" s="14"/>
      <c r="E1524" s="14"/>
    </row>
    <row r="1525" spans="4:5">
      <c r="D1525" s="14"/>
      <c r="E1525" s="14"/>
    </row>
    <row r="1526" spans="4:5">
      <c r="D1526" s="14"/>
      <c r="E1526" s="14"/>
    </row>
    <row r="1527" spans="4:5">
      <c r="D1527" s="14"/>
      <c r="E1527" s="14"/>
    </row>
    <row r="1528" spans="4:5">
      <c r="D1528" s="14"/>
      <c r="E1528" s="14"/>
    </row>
    <row r="1529" spans="4:5">
      <c r="D1529" s="14"/>
      <c r="E1529" s="14"/>
    </row>
    <row r="1530" spans="4:5">
      <c r="D1530" s="14"/>
      <c r="E1530" s="14"/>
    </row>
    <row r="1531" spans="4:5">
      <c r="D1531" s="14"/>
      <c r="E1531" s="14"/>
    </row>
    <row r="1532" spans="4:5">
      <c r="D1532" s="14"/>
      <c r="E1532" s="14"/>
    </row>
    <row r="1533" spans="4:5">
      <c r="D1533" s="14"/>
      <c r="E1533" s="14"/>
    </row>
    <row r="1534" spans="4:5">
      <c r="D1534" s="14"/>
      <c r="E1534" s="14"/>
    </row>
    <row r="1535" spans="4:5">
      <c r="D1535" s="14"/>
      <c r="E1535" s="14"/>
    </row>
    <row r="1536" spans="4:5">
      <c r="D1536" s="14"/>
      <c r="E1536" s="14"/>
    </row>
    <row r="1537" spans="4:5">
      <c r="D1537" s="14"/>
      <c r="E1537" s="14"/>
    </row>
    <row r="1538" spans="4:5">
      <c r="D1538" s="14"/>
      <c r="E1538" s="14"/>
    </row>
    <row r="1539" spans="4:5">
      <c r="D1539" s="14"/>
      <c r="E1539" s="14"/>
    </row>
    <row r="1540" spans="4:5">
      <c r="D1540" s="14"/>
      <c r="E1540" s="14"/>
    </row>
    <row r="1541" spans="4:5">
      <c r="D1541" s="14"/>
      <c r="E1541" s="14"/>
    </row>
    <row r="1542" spans="4:5">
      <c r="D1542" s="14"/>
      <c r="E1542" s="14"/>
    </row>
    <row r="1543" spans="4:5">
      <c r="D1543" s="14"/>
      <c r="E1543" s="14"/>
    </row>
    <row r="1544" spans="4:5">
      <c r="D1544" s="14"/>
      <c r="E1544" s="14"/>
    </row>
    <row r="1545" spans="4:5">
      <c r="D1545" s="14"/>
      <c r="E1545" s="14"/>
    </row>
    <row r="1546" spans="4:5">
      <c r="D1546" s="14"/>
      <c r="E1546" s="14"/>
    </row>
    <row r="1547" spans="4:5">
      <c r="D1547" s="14"/>
      <c r="E1547" s="14"/>
    </row>
    <row r="1548" spans="4:5">
      <c r="D1548" s="14"/>
      <c r="E1548" s="14"/>
    </row>
    <row r="1549" spans="4:5">
      <c r="D1549" s="14"/>
      <c r="E1549" s="14"/>
    </row>
    <row r="1550" spans="4:5">
      <c r="D1550" s="14"/>
      <c r="E1550" s="14"/>
    </row>
    <row r="1551" spans="4:5">
      <c r="D1551" s="14"/>
      <c r="E1551" s="14"/>
    </row>
    <row r="1552" spans="4:5">
      <c r="D1552" s="14"/>
      <c r="E1552" s="14"/>
    </row>
    <row r="1553" spans="4:5">
      <c r="D1553" s="14"/>
      <c r="E1553" s="14"/>
    </row>
    <row r="1554" spans="4:5">
      <c r="D1554" s="14"/>
      <c r="E1554" s="14"/>
    </row>
    <row r="1555" spans="4:5">
      <c r="D1555" s="14"/>
      <c r="E1555" s="14"/>
    </row>
    <row r="1556" spans="4:5">
      <c r="D1556" s="14"/>
      <c r="E1556" s="14"/>
    </row>
    <row r="1557" spans="4:5">
      <c r="D1557" s="14"/>
      <c r="E1557" s="14"/>
    </row>
    <row r="1558" spans="4:5">
      <c r="D1558" s="14"/>
      <c r="E1558" s="14"/>
    </row>
    <row r="1559" spans="4:5">
      <c r="D1559" s="14"/>
      <c r="E1559" s="14"/>
    </row>
    <row r="1560" spans="4:5">
      <c r="D1560" s="14"/>
      <c r="E1560" s="14"/>
    </row>
    <row r="1561" spans="4:5">
      <c r="D1561" s="14"/>
      <c r="E1561" s="14"/>
    </row>
    <row r="1562" spans="4:5">
      <c r="D1562" s="14"/>
      <c r="E1562" s="14"/>
    </row>
    <row r="1563" spans="4:5">
      <c r="D1563" s="14"/>
      <c r="E1563" s="14"/>
    </row>
    <row r="1564" spans="4:5">
      <c r="D1564" s="14"/>
      <c r="E1564" s="14"/>
    </row>
    <row r="1565" spans="4:5">
      <c r="D1565" s="14"/>
      <c r="E1565" s="14"/>
    </row>
    <row r="1566" spans="4:5">
      <c r="D1566" s="14"/>
      <c r="E1566" s="14"/>
    </row>
    <row r="1567" spans="4:5">
      <c r="D1567" s="14"/>
      <c r="E1567" s="14"/>
    </row>
    <row r="1568" spans="4:5">
      <c r="D1568" s="14"/>
      <c r="E1568" s="14"/>
    </row>
    <row r="1569" spans="4:5">
      <c r="D1569" s="14"/>
      <c r="E1569" s="14"/>
    </row>
    <row r="1570" spans="4:5">
      <c r="D1570" s="14"/>
      <c r="E1570" s="14"/>
    </row>
    <row r="1571" spans="4:5">
      <c r="D1571" s="14"/>
      <c r="E1571" s="14"/>
    </row>
    <row r="1572" spans="4:5">
      <c r="D1572" s="14"/>
      <c r="E1572" s="14"/>
    </row>
    <row r="1573" spans="4:5">
      <c r="D1573" s="14"/>
      <c r="E1573" s="14"/>
    </row>
    <row r="1574" spans="4:5">
      <c r="D1574" s="14"/>
      <c r="E1574" s="14"/>
    </row>
    <row r="1575" spans="4:5">
      <c r="D1575" s="14"/>
      <c r="E1575" s="14"/>
    </row>
    <row r="1576" spans="4:5">
      <c r="D1576" s="14"/>
      <c r="E1576" s="14"/>
    </row>
    <row r="1577" spans="4:5">
      <c r="D1577" s="14"/>
      <c r="E1577" s="14"/>
    </row>
    <row r="1578" spans="4:5">
      <c r="D1578" s="14"/>
      <c r="E1578" s="14"/>
    </row>
    <row r="1579" spans="4:5">
      <c r="D1579" s="14"/>
      <c r="E1579" s="14"/>
    </row>
    <row r="1580" spans="4:5">
      <c r="D1580" s="14"/>
      <c r="E1580" s="14"/>
    </row>
    <row r="1581" spans="4:5">
      <c r="D1581" s="14"/>
      <c r="E1581" s="14"/>
    </row>
    <row r="1582" spans="4:5">
      <c r="D1582" s="14"/>
      <c r="E1582" s="14"/>
    </row>
    <row r="1583" spans="4:5">
      <c r="D1583" s="14"/>
      <c r="E1583" s="14"/>
    </row>
    <row r="1584" spans="4:5">
      <c r="D1584" s="14"/>
      <c r="E1584" s="14"/>
    </row>
    <row r="1585" spans="4:5">
      <c r="D1585" s="14"/>
      <c r="E1585" s="14"/>
    </row>
    <row r="1586" spans="4:5">
      <c r="D1586" s="14"/>
      <c r="E1586" s="14"/>
    </row>
    <row r="1587" spans="4:5">
      <c r="D1587" s="14"/>
      <c r="E1587" s="14"/>
    </row>
    <row r="1588" spans="4:5">
      <c r="D1588" s="14"/>
      <c r="E1588" s="14"/>
    </row>
    <row r="1589" spans="4:5">
      <c r="D1589" s="14"/>
      <c r="E1589" s="14"/>
    </row>
    <row r="1590" spans="4:5">
      <c r="D1590" s="14"/>
      <c r="E1590" s="14"/>
    </row>
    <row r="1591" spans="4:5">
      <c r="D1591" s="14"/>
      <c r="E1591" s="14"/>
    </row>
    <row r="1592" spans="4:5">
      <c r="D1592" s="14"/>
      <c r="E1592" s="14"/>
    </row>
    <row r="1593" spans="4:5">
      <c r="D1593" s="14"/>
      <c r="E1593" s="14"/>
    </row>
    <row r="1594" spans="4:5">
      <c r="D1594" s="14"/>
      <c r="E1594" s="14"/>
    </row>
    <row r="1595" spans="4:5">
      <c r="D1595" s="14"/>
      <c r="E1595" s="14"/>
    </row>
    <row r="1596" spans="4:5">
      <c r="D1596" s="14"/>
      <c r="E1596" s="14"/>
    </row>
    <row r="1597" spans="4:5">
      <c r="D1597" s="14"/>
      <c r="E1597" s="14"/>
    </row>
    <row r="1598" spans="4:5">
      <c r="D1598" s="14"/>
      <c r="E1598" s="14"/>
    </row>
    <row r="1599" spans="4:5">
      <c r="D1599" s="14"/>
      <c r="E1599" s="14"/>
    </row>
    <row r="1600" spans="4:5">
      <c r="D1600" s="14"/>
      <c r="E1600" s="14"/>
    </row>
    <row r="1601" spans="4:5">
      <c r="D1601" s="14"/>
      <c r="E1601" s="14"/>
    </row>
    <row r="1602" spans="4:5">
      <c r="D1602" s="14"/>
      <c r="E1602" s="14"/>
    </row>
    <row r="1603" spans="4:5">
      <c r="D1603" s="14"/>
      <c r="E1603" s="14"/>
    </row>
    <row r="1604" spans="4:5">
      <c r="D1604" s="14"/>
      <c r="E1604" s="14"/>
    </row>
    <row r="1605" spans="4:5">
      <c r="D1605" s="14"/>
      <c r="E1605" s="14"/>
    </row>
    <row r="1606" spans="4:5">
      <c r="D1606" s="14"/>
      <c r="E1606" s="14"/>
    </row>
    <row r="1607" spans="4:5">
      <c r="D1607" s="14"/>
      <c r="E1607" s="14"/>
    </row>
    <row r="1608" spans="4:5">
      <c r="D1608" s="14"/>
      <c r="E1608" s="14"/>
    </row>
    <row r="1609" spans="4:5">
      <c r="D1609" s="14"/>
      <c r="E1609" s="14"/>
    </row>
    <row r="1610" spans="4:5">
      <c r="D1610" s="14"/>
      <c r="E1610" s="14"/>
    </row>
    <row r="1611" spans="4:5">
      <c r="D1611" s="14"/>
      <c r="E1611" s="14"/>
    </row>
    <row r="1612" spans="4:5">
      <c r="D1612" s="14"/>
      <c r="E1612" s="14"/>
    </row>
    <row r="1613" spans="4:5">
      <c r="D1613" s="14"/>
      <c r="E1613" s="14"/>
    </row>
    <row r="1614" spans="4:5">
      <c r="D1614" s="14"/>
      <c r="E1614" s="14"/>
    </row>
    <row r="1615" spans="4:5">
      <c r="D1615" s="14"/>
      <c r="E1615" s="14"/>
    </row>
    <row r="1616" spans="4:5">
      <c r="D1616" s="14"/>
      <c r="E1616" s="14"/>
    </row>
    <row r="1617" spans="4:5">
      <c r="D1617" s="14"/>
      <c r="E1617" s="14"/>
    </row>
    <row r="1618" spans="4:5">
      <c r="D1618" s="14"/>
      <c r="E1618" s="14"/>
    </row>
    <row r="1619" spans="4:5">
      <c r="D1619" s="14"/>
      <c r="E1619" s="14"/>
    </row>
    <row r="1620" spans="4:5">
      <c r="D1620" s="14"/>
      <c r="E1620" s="14"/>
    </row>
    <row r="1621" spans="4:5">
      <c r="D1621" s="14"/>
      <c r="E1621" s="14"/>
    </row>
    <row r="1622" spans="4:5">
      <c r="D1622" s="14"/>
      <c r="E1622" s="14"/>
    </row>
    <row r="1623" spans="4:5">
      <c r="D1623" s="14"/>
      <c r="E1623" s="14"/>
    </row>
    <row r="1624" spans="4:5">
      <c r="D1624" s="14"/>
      <c r="E1624" s="14"/>
    </row>
    <row r="1625" spans="4:5">
      <c r="D1625" s="14"/>
      <c r="E1625" s="14"/>
    </row>
    <row r="1626" spans="4:5">
      <c r="D1626" s="14"/>
      <c r="E1626" s="14"/>
    </row>
    <row r="1627" spans="4:5">
      <c r="D1627" s="14"/>
      <c r="E1627" s="14"/>
    </row>
    <row r="1628" spans="4:5">
      <c r="D1628" s="14"/>
      <c r="E1628" s="14"/>
    </row>
    <row r="1629" spans="4:5">
      <c r="D1629" s="14"/>
      <c r="E1629" s="14"/>
    </row>
    <row r="1630" spans="4:5">
      <c r="D1630" s="14"/>
      <c r="E1630" s="14"/>
    </row>
    <row r="1631" spans="4:5">
      <c r="D1631" s="14"/>
      <c r="E1631" s="14"/>
    </row>
    <row r="1632" spans="4:5">
      <c r="D1632" s="14"/>
      <c r="E1632" s="14"/>
    </row>
    <row r="1633" spans="4:5">
      <c r="D1633" s="14"/>
      <c r="E1633" s="14"/>
    </row>
    <row r="1634" spans="4:5">
      <c r="D1634" s="14"/>
      <c r="E1634" s="14"/>
    </row>
    <row r="1635" spans="4:5">
      <c r="D1635" s="14"/>
      <c r="E1635" s="14"/>
    </row>
    <row r="1636" spans="4:5">
      <c r="D1636" s="14"/>
      <c r="E1636" s="14"/>
    </row>
    <row r="1637" spans="4:5">
      <c r="D1637" s="14"/>
      <c r="E1637" s="14"/>
    </row>
    <row r="1638" spans="4:5">
      <c r="D1638" s="14"/>
      <c r="E1638" s="14"/>
    </row>
    <row r="1639" spans="4:5">
      <c r="D1639" s="14"/>
      <c r="E1639" s="14"/>
    </row>
    <row r="1640" spans="4:5">
      <c r="D1640" s="14"/>
      <c r="E1640" s="14"/>
    </row>
    <row r="1641" spans="4:5">
      <c r="D1641" s="14"/>
      <c r="E1641" s="14"/>
    </row>
    <row r="1642" spans="4:5">
      <c r="D1642" s="14"/>
      <c r="E1642" s="14"/>
    </row>
    <row r="1643" spans="4:5">
      <c r="D1643" s="14"/>
      <c r="E1643" s="14"/>
    </row>
    <row r="1644" spans="4:5">
      <c r="D1644" s="14"/>
      <c r="E1644" s="14"/>
    </row>
    <row r="1645" spans="4:5">
      <c r="D1645" s="14"/>
      <c r="E1645" s="14"/>
    </row>
    <row r="1646" spans="4:5">
      <c r="D1646" s="14"/>
      <c r="E1646" s="14"/>
    </row>
    <row r="1647" spans="4:5">
      <c r="D1647" s="14"/>
      <c r="E1647" s="14"/>
    </row>
    <row r="1648" spans="4:5">
      <c r="D1648" s="14"/>
      <c r="E1648" s="14"/>
    </row>
    <row r="1649" spans="4:5">
      <c r="D1649" s="14"/>
      <c r="E1649" s="14"/>
    </row>
    <row r="1650" spans="4:5">
      <c r="D1650" s="14"/>
      <c r="E1650" s="14"/>
    </row>
    <row r="1651" spans="4:5">
      <c r="D1651" s="14"/>
      <c r="E1651" s="14"/>
    </row>
    <row r="1652" spans="4:5">
      <c r="D1652" s="14"/>
      <c r="E1652" s="14"/>
    </row>
    <row r="1653" spans="4:5">
      <c r="D1653" s="14"/>
      <c r="E1653" s="14"/>
    </row>
    <row r="1654" spans="4:5">
      <c r="D1654" s="14"/>
      <c r="E1654" s="14"/>
    </row>
    <row r="1655" spans="4:5">
      <c r="D1655" s="14"/>
      <c r="E1655" s="14"/>
    </row>
    <row r="1656" spans="4:5">
      <c r="D1656" s="14"/>
      <c r="E1656" s="14"/>
    </row>
    <row r="1657" spans="4:5">
      <c r="D1657" s="14"/>
      <c r="E1657" s="14"/>
    </row>
    <row r="1658" spans="4:5">
      <c r="D1658" s="14"/>
      <c r="E1658" s="14"/>
    </row>
    <row r="1659" spans="4:5">
      <c r="D1659" s="14"/>
      <c r="E1659" s="14"/>
    </row>
    <row r="1660" spans="4:5">
      <c r="D1660" s="14"/>
      <c r="E1660" s="14"/>
    </row>
    <row r="1661" spans="4:5">
      <c r="D1661" s="14"/>
      <c r="E1661" s="14"/>
    </row>
    <row r="1662" spans="4:5">
      <c r="D1662" s="14"/>
      <c r="E1662" s="14"/>
    </row>
    <row r="1663" spans="4:5">
      <c r="D1663" s="14"/>
      <c r="E1663" s="14"/>
    </row>
    <row r="1664" spans="4:5">
      <c r="D1664" s="14"/>
      <c r="E1664" s="14"/>
    </row>
    <row r="1665" spans="4:5">
      <c r="D1665" s="14"/>
      <c r="E1665" s="14"/>
    </row>
    <row r="1666" spans="4:5">
      <c r="D1666" s="14"/>
      <c r="E1666" s="14"/>
    </row>
    <row r="1667" spans="4:5">
      <c r="D1667" s="14"/>
      <c r="E1667" s="14"/>
    </row>
    <row r="1668" spans="4:5">
      <c r="D1668" s="14"/>
      <c r="E1668" s="14"/>
    </row>
    <row r="1669" spans="4:5">
      <c r="D1669" s="14"/>
      <c r="E1669" s="14"/>
    </row>
    <row r="1670" spans="4:5">
      <c r="D1670" s="14"/>
      <c r="E1670" s="14"/>
    </row>
    <row r="1671" spans="4:5">
      <c r="D1671" s="14"/>
      <c r="E1671" s="14"/>
    </row>
    <row r="1672" spans="4:5">
      <c r="D1672" s="14"/>
      <c r="E1672" s="14"/>
    </row>
    <row r="1673" spans="4:5">
      <c r="D1673" s="14"/>
      <c r="E1673" s="14"/>
    </row>
    <row r="1674" spans="4:5">
      <c r="D1674" s="14"/>
      <c r="E1674" s="14"/>
    </row>
    <row r="1675" spans="4:5">
      <c r="D1675" s="14"/>
      <c r="E1675" s="14"/>
    </row>
    <row r="1676" spans="4:5">
      <c r="D1676" s="14"/>
      <c r="E1676" s="14"/>
    </row>
    <row r="1677" spans="4:5">
      <c r="D1677" s="14"/>
      <c r="E1677" s="14"/>
    </row>
    <row r="1678" spans="4:5">
      <c r="D1678" s="14"/>
      <c r="E1678" s="14"/>
    </row>
    <row r="1679" spans="4:5">
      <c r="D1679" s="14"/>
      <c r="E1679" s="14"/>
    </row>
    <row r="1680" spans="4:5">
      <c r="D1680" s="14"/>
      <c r="E1680" s="14"/>
    </row>
    <row r="1681" spans="4:5">
      <c r="D1681" s="14"/>
      <c r="E1681" s="14"/>
    </row>
    <row r="1682" spans="4:5">
      <c r="D1682" s="14"/>
      <c r="E1682" s="14"/>
    </row>
    <row r="1683" spans="4:5">
      <c r="D1683" s="14"/>
      <c r="E1683" s="14"/>
    </row>
    <row r="1684" spans="4:5">
      <c r="D1684" s="14"/>
      <c r="E1684" s="14"/>
    </row>
    <row r="1685" spans="4:5">
      <c r="D1685" s="14"/>
      <c r="E1685" s="14"/>
    </row>
    <row r="1686" spans="4:5">
      <c r="D1686" s="14"/>
      <c r="E1686" s="14"/>
    </row>
    <row r="1687" spans="4:5">
      <c r="D1687" s="14"/>
      <c r="E1687" s="14"/>
    </row>
    <row r="1688" spans="4:5">
      <c r="D1688" s="14"/>
      <c r="E1688" s="14"/>
    </row>
    <row r="1689" spans="4:5">
      <c r="D1689" s="14"/>
      <c r="E1689" s="14"/>
    </row>
    <row r="1690" spans="4:5">
      <c r="D1690" s="14"/>
      <c r="E1690" s="14"/>
    </row>
    <row r="1691" spans="4:5">
      <c r="D1691" s="14"/>
      <c r="E1691" s="14"/>
    </row>
    <row r="1692" spans="4:5">
      <c r="D1692" s="14"/>
      <c r="E1692" s="14"/>
    </row>
    <row r="1693" spans="4:5">
      <c r="D1693" s="14"/>
      <c r="E1693" s="14"/>
    </row>
    <row r="1694" spans="4:5">
      <c r="D1694" s="14"/>
      <c r="E1694" s="14"/>
    </row>
    <row r="1695" spans="4:5">
      <c r="D1695" s="14"/>
      <c r="E1695" s="14"/>
    </row>
    <row r="1696" spans="4:5">
      <c r="D1696" s="14"/>
      <c r="E1696" s="14"/>
    </row>
    <row r="1697" spans="4:5">
      <c r="D1697" s="14"/>
      <c r="E1697" s="14"/>
    </row>
    <row r="1698" spans="4:5">
      <c r="D1698" s="14"/>
      <c r="E1698" s="14"/>
    </row>
    <row r="1699" spans="4:5">
      <c r="D1699" s="14"/>
      <c r="E1699" s="14"/>
    </row>
    <row r="1700" spans="4:5">
      <c r="D1700" s="14"/>
      <c r="E1700" s="14"/>
    </row>
    <row r="1701" spans="4:5">
      <c r="D1701" s="14"/>
      <c r="E1701" s="14"/>
    </row>
    <row r="1702" spans="4:5">
      <c r="D1702" s="14"/>
      <c r="E1702" s="14"/>
    </row>
    <row r="1703" spans="4:5">
      <c r="D1703" s="14"/>
      <c r="E1703" s="14"/>
    </row>
    <row r="1704" spans="4:5">
      <c r="D1704" s="14"/>
      <c r="E1704" s="14"/>
    </row>
    <row r="1705" spans="4:5">
      <c r="D1705" s="14"/>
      <c r="E1705" s="14"/>
    </row>
    <row r="1706" spans="4:5">
      <c r="D1706" s="14"/>
      <c r="E1706" s="14"/>
    </row>
    <row r="1707" spans="4:5">
      <c r="D1707" s="14"/>
      <c r="E1707" s="14"/>
    </row>
    <row r="1708" spans="4:5">
      <c r="D1708" s="14"/>
      <c r="E1708" s="14"/>
    </row>
    <row r="1709" spans="4:5">
      <c r="D1709" s="14"/>
      <c r="E1709" s="14"/>
    </row>
    <row r="1710" spans="4:5">
      <c r="D1710" s="14"/>
      <c r="E1710" s="14"/>
    </row>
    <row r="1711" spans="4:5">
      <c r="D1711" s="14"/>
      <c r="E1711" s="14"/>
    </row>
    <row r="1712" spans="4:5">
      <c r="D1712" s="14"/>
      <c r="E1712" s="14"/>
    </row>
    <row r="1713" spans="4:5">
      <c r="D1713" s="14"/>
      <c r="E1713" s="14"/>
    </row>
    <row r="1714" spans="4:5">
      <c r="D1714" s="14"/>
      <c r="E1714" s="14"/>
    </row>
    <row r="1715" spans="4:5">
      <c r="D1715" s="14"/>
      <c r="E1715" s="14"/>
    </row>
    <row r="1716" spans="4:5">
      <c r="D1716" s="14"/>
      <c r="E1716" s="14"/>
    </row>
    <row r="1717" spans="4:5">
      <c r="D1717" s="14"/>
      <c r="E1717" s="14"/>
    </row>
    <row r="1718" spans="4:5">
      <c r="D1718" s="14"/>
      <c r="E1718" s="14"/>
    </row>
    <row r="1719" spans="4:5">
      <c r="D1719" s="14"/>
      <c r="E1719" s="14"/>
    </row>
    <row r="1720" spans="4:5">
      <c r="D1720" s="14"/>
      <c r="E1720" s="14"/>
    </row>
    <row r="1721" spans="4:5">
      <c r="D1721" s="14"/>
      <c r="E1721" s="14"/>
    </row>
    <row r="1722" spans="4:5">
      <c r="D1722" s="14"/>
      <c r="E1722" s="14"/>
    </row>
    <row r="1723" spans="4:5">
      <c r="D1723" s="14"/>
      <c r="E1723" s="14"/>
    </row>
    <row r="1724" spans="4:5">
      <c r="D1724" s="14"/>
      <c r="E1724" s="14"/>
    </row>
    <row r="1725" spans="4:5">
      <c r="D1725" s="14"/>
      <c r="E1725" s="14"/>
    </row>
    <row r="1726" spans="4:5">
      <c r="D1726" s="14"/>
      <c r="E1726" s="14"/>
    </row>
    <row r="1727" spans="4:5">
      <c r="D1727" s="14"/>
      <c r="E1727" s="14"/>
    </row>
    <row r="1728" spans="4:5">
      <c r="D1728" s="14"/>
      <c r="E1728" s="14"/>
    </row>
    <row r="1729" spans="4:5">
      <c r="D1729" s="14"/>
      <c r="E1729" s="14"/>
    </row>
    <row r="1730" spans="4:5">
      <c r="D1730" s="14"/>
      <c r="E1730" s="14"/>
    </row>
    <row r="1731" spans="4:5">
      <c r="D1731" s="14"/>
      <c r="E1731" s="14"/>
    </row>
    <row r="1732" spans="4:5">
      <c r="D1732" s="14"/>
      <c r="E1732" s="14"/>
    </row>
    <row r="1733" spans="4:5">
      <c r="D1733" s="14"/>
      <c r="E1733" s="14"/>
    </row>
    <row r="1734" spans="4:5">
      <c r="D1734" s="14"/>
      <c r="E1734" s="14"/>
    </row>
    <row r="1735" spans="4:5">
      <c r="D1735" s="14"/>
      <c r="E1735" s="14"/>
    </row>
    <row r="1736" spans="4:5">
      <c r="D1736" s="14"/>
      <c r="E1736" s="14"/>
    </row>
    <row r="1737" spans="4:5">
      <c r="D1737" s="14"/>
      <c r="E1737" s="14"/>
    </row>
    <row r="1738" spans="4:5">
      <c r="D1738" s="14"/>
      <c r="E1738" s="14"/>
    </row>
    <row r="1739" spans="4:5">
      <c r="D1739" s="14"/>
      <c r="E1739" s="14"/>
    </row>
    <row r="1740" spans="4:5">
      <c r="D1740" s="14"/>
      <c r="E1740" s="14"/>
    </row>
    <row r="1741" spans="4:5">
      <c r="D1741" s="14"/>
      <c r="E1741" s="14"/>
    </row>
    <row r="1742" spans="4:5">
      <c r="D1742" s="14"/>
      <c r="E1742" s="14"/>
    </row>
    <row r="1743" spans="4:5">
      <c r="D1743" s="14"/>
      <c r="E1743" s="14"/>
    </row>
    <row r="1744" spans="4:5">
      <c r="D1744" s="14"/>
      <c r="E1744" s="14"/>
    </row>
    <row r="1745" spans="4:5">
      <c r="D1745" s="14"/>
      <c r="E1745" s="14"/>
    </row>
    <row r="1746" spans="4:5">
      <c r="D1746" s="14"/>
      <c r="E1746" s="14"/>
    </row>
    <row r="1747" spans="4:5">
      <c r="D1747" s="14"/>
      <c r="E1747" s="14"/>
    </row>
    <row r="1748" spans="4:5">
      <c r="D1748" s="14"/>
      <c r="E1748" s="14"/>
    </row>
    <row r="1749" spans="4:5">
      <c r="D1749" s="14"/>
      <c r="E1749" s="14"/>
    </row>
    <row r="1750" spans="4:5">
      <c r="D1750" s="14"/>
      <c r="E1750" s="14"/>
    </row>
    <row r="1751" spans="4:5">
      <c r="D1751" s="14"/>
      <c r="E1751" s="14"/>
    </row>
    <row r="1752" spans="4:5">
      <c r="D1752" s="14"/>
      <c r="E1752" s="14"/>
    </row>
    <row r="1753" spans="4:5">
      <c r="D1753" s="14"/>
      <c r="E1753" s="14"/>
    </row>
    <row r="1754" spans="4:5">
      <c r="D1754" s="14"/>
      <c r="E1754" s="14"/>
    </row>
    <row r="1755" spans="4:5">
      <c r="D1755" s="14"/>
      <c r="E1755" s="14"/>
    </row>
    <row r="1756" spans="4:5">
      <c r="D1756" s="14"/>
      <c r="E1756" s="14"/>
    </row>
    <row r="1757" spans="4:5">
      <c r="D1757" s="14"/>
      <c r="E1757" s="14"/>
    </row>
    <row r="1758" spans="4:5">
      <c r="D1758" s="14"/>
      <c r="E1758" s="14"/>
    </row>
    <row r="1759" spans="4:5">
      <c r="D1759" s="14"/>
      <c r="E1759" s="14"/>
    </row>
    <row r="1760" spans="4:5">
      <c r="D1760" s="14"/>
      <c r="E1760" s="14"/>
    </row>
    <row r="1761" spans="4:5">
      <c r="D1761" s="14"/>
      <c r="E1761" s="14"/>
    </row>
    <row r="1762" spans="4:5">
      <c r="D1762" s="14"/>
      <c r="E1762" s="14"/>
    </row>
    <row r="1763" spans="4:5">
      <c r="D1763" s="14"/>
      <c r="E1763" s="14"/>
    </row>
    <row r="1764" spans="4:5">
      <c r="D1764" s="14"/>
      <c r="E1764" s="14"/>
    </row>
    <row r="1765" spans="4:5">
      <c r="D1765" s="14"/>
      <c r="E1765" s="14"/>
    </row>
    <row r="1766" spans="4:5">
      <c r="D1766" s="14"/>
      <c r="E1766" s="14"/>
    </row>
    <row r="1767" spans="4:5">
      <c r="D1767" s="14"/>
      <c r="E1767" s="14"/>
    </row>
    <row r="1768" spans="4:5">
      <c r="D1768" s="14"/>
      <c r="E1768" s="14"/>
    </row>
    <row r="1769" spans="4:5">
      <c r="D1769" s="14"/>
      <c r="E1769" s="14"/>
    </row>
    <row r="1770" spans="4:5">
      <c r="D1770" s="14"/>
      <c r="E1770" s="14"/>
    </row>
    <row r="1771" spans="4:5">
      <c r="D1771" s="14"/>
      <c r="E1771" s="14"/>
    </row>
    <row r="1772" spans="4:5">
      <c r="D1772" s="14"/>
      <c r="E1772" s="14"/>
    </row>
    <row r="1773" spans="4:5">
      <c r="D1773" s="14"/>
      <c r="E1773" s="14"/>
    </row>
    <row r="1774" spans="4:5">
      <c r="D1774" s="14"/>
      <c r="E1774" s="14"/>
    </row>
    <row r="1775" spans="4:5">
      <c r="D1775" s="14"/>
      <c r="E1775" s="14"/>
    </row>
    <row r="1776" spans="4:5">
      <c r="D1776" s="14"/>
      <c r="E1776" s="14"/>
    </row>
    <row r="1777" spans="4:5">
      <c r="D1777" s="14"/>
      <c r="E1777" s="14"/>
    </row>
    <row r="1778" spans="4:5">
      <c r="D1778" s="14"/>
      <c r="E1778" s="14"/>
    </row>
    <row r="1779" spans="4:5">
      <c r="D1779" s="14"/>
      <c r="E1779" s="14"/>
    </row>
    <row r="1780" spans="4:5">
      <c r="D1780" s="14"/>
      <c r="E1780" s="14"/>
    </row>
    <row r="1781" spans="4:5">
      <c r="D1781" s="14"/>
      <c r="E1781" s="14"/>
    </row>
    <row r="1782" spans="4:5">
      <c r="D1782" s="14"/>
      <c r="E1782" s="14"/>
    </row>
    <row r="1783" spans="4:5">
      <c r="D1783" s="14"/>
      <c r="E1783" s="14"/>
    </row>
    <row r="1784" spans="4:5">
      <c r="D1784" s="14"/>
      <c r="E1784" s="14"/>
    </row>
    <row r="1785" spans="4:5">
      <c r="D1785" s="14"/>
      <c r="E1785" s="14"/>
    </row>
    <row r="1786" spans="4:5">
      <c r="D1786" s="14"/>
      <c r="E1786" s="14"/>
    </row>
    <row r="1787" spans="4:5">
      <c r="D1787" s="14"/>
      <c r="E1787" s="14"/>
    </row>
    <row r="1788" spans="4:5">
      <c r="D1788" s="14"/>
      <c r="E1788" s="14"/>
    </row>
    <row r="1789" spans="4:5">
      <c r="D1789" s="14"/>
      <c r="E1789" s="14"/>
    </row>
    <row r="1790" spans="4:5">
      <c r="D1790" s="14"/>
      <c r="E1790" s="14"/>
    </row>
  </sheetData>
  <mergeCells count="1">
    <mergeCell ref="B513:B515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e98abc-ba30-451a-8ce6-4c4c6166e473">
      <Terms xmlns="http://schemas.microsoft.com/office/infopath/2007/PartnerControls"/>
    </lcf76f155ced4ddcb4097134ff3c332f>
    <TaxCatchAll xmlns="b62bbea0-3efe-4948-8e66-8df7f1e51339" xsi:nil="true"/>
    <_xc815__xb82c__xc21c__xc11c_ xmlns="0de98abc-ba30-451a-8ce6-4c4c6166e4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187292-1CCF-4396-BEBC-0F21A34589CC}"/>
</file>

<file path=customXml/itemProps2.xml><?xml version="1.0" encoding="utf-8"?>
<ds:datastoreItem xmlns:ds="http://schemas.openxmlformats.org/officeDocument/2006/customXml" ds:itemID="{F738A11F-BD8F-4DD7-9E48-084483261974}"/>
</file>

<file path=customXml/itemProps3.xml><?xml version="1.0" encoding="utf-8"?>
<ds:datastoreItem xmlns:ds="http://schemas.openxmlformats.org/officeDocument/2006/customXml" ds:itemID="{4F0BBCAA-D567-44D2-A27E-5173D43621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장형석</dc:creator>
  <cp:keywords/>
  <dc:description/>
  <cp:lastModifiedBy>Aron Kim(김영민)</cp:lastModifiedBy>
  <cp:revision/>
  <dcterms:created xsi:type="dcterms:W3CDTF">2023-11-27T00:25:55Z</dcterms:created>
  <dcterms:modified xsi:type="dcterms:W3CDTF">2024-03-13T10:42:01Z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0x0101007BDFA59B5C858E4683FD8275FF124205</vt:lpwstr>
  </property>
  <property fmtid="{D5CDD505-2E9C-101B-9397-08002B2CF9AE}" pid="3" name="MediaServiceImageTags">
    <vt:lpwstr/>
  </property>
</Properties>
</file>